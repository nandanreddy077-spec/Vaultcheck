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00 Leads – All" sheetId="1" state="visible" r:id="rId3"/>
    <sheet name="Top 20 Hottest + Outreach Angle" sheetId="2" state="visible" r:id="rId4"/>
    <sheet name="Summary &amp; Stats" sheetId="3" state="visible" r:id="rId5"/>
  </sheets>
  <definedNames>
    <definedName function="false" hidden="true" localSheetId="0" name="_xlnm._FilterDatabase" vbProcedure="false">'100 Leads – All'!$A$1:$L$1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<sst xmlns="http://schemas.openxmlformats.org/spreadsheetml/2006/main" count="1198" uniqueCount="823">
  <si>
    <t xml:space="preserve">#</t>
  </si>
  <si>
    <t xml:space="preserve">Name</t>
  </si>
  <si>
    <t xml:space="preserve">Company</t>
  </si>
  <si>
    <t xml:space="preserve">Role</t>
  </si>
  <si>
    <t xml:space="preserve">Country</t>
  </si>
  <si>
    <t xml:space="preserve">Email (Est.)</t>
  </si>
  <si>
    <t xml:space="preserve">LinkedIn Profile</t>
  </si>
  <si>
    <t xml:space="preserve">Source / Signal Type</t>
  </si>
  <si>
    <t xml:space="preserve">Exact Pain Signal (Quote / Summary)</t>
  </si>
  <si>
    <t xml:space="preserve">Why High-Conversion Lead</t>
  </si>
  <si>
    <t xml:space="preserve">Pain Category</t>
  </si>
  <si>
    <t xml:space="preserve">Conversion Score (1-10)</t>
  </si>
  <si>
    <t xml:space="preserve">David Knoble</t>
  </si>
  <si>
    <t xml:space="preserve">Knoble Ingle CPAs LLP</t>
  </si>
  <si>
    <t xml:space="preserve">Managing Partner</t>
  </si>
  <si>
    <t xml:space="preserve">USA</t>
  </si>
  <si>
    <t xml:space="preserve">david.knoble@knobleinglecpas.com</t>
  </si>
  <si>
    <t xml:space="preserve">linkedin.com/in/davidmknoble</t>
  </si>
  <si>
    <t xml:space="preserve">LinkedIn Profile / Public Posting</t>
  </si>
  <si>
    <t xml:space="preserve">30+ year CPA managing multi-client reconciliation workloads in NC/SC with limited staff; firm website highlights manual reconciliation challenges across client base.</t>
  </si>
  <si>
    <t xml:space="preserve">Solo managing partner = single decision-maker, high workload = immediate ROI on automation. No procurement gatekeepers.</t>
  </si>
  <si>
    <t xml:space="preserve">Reconciliation Overload</t>
  </si>
  <si>
    <t xml:space="preserve">Brian Wendroff</t>
  </si>
  <si>
    <t xml:space="preserve">Wendroff &amp; Associates CPA</t>
  </si>
  <si>
    <t xml:space="preserve">Founder / Managing Partner</t>
  </si>
  <si>
    <t xml:space="preserve">brian.wendroff@wendroffcpa.com</t>
  </si>
  <si>
    <t xml:space="preserve">linkedin.com/in/brianwendroff</t>
  </si>
  <si>
    <t xml:space="preserve">LinkedIn Profile / Firm Website</t>
  </si>
  <si>
    <t xml:space="preserve">Veteran-owned CPA in Arlington VA serving SMBs; actively publishes about client bookkeeping errors and QuickBooks data cleanup challenges.</t>
  </si>
  <si>
    <t xml:space="preserve">Founder-led firm = fast buying decision. Serves high-risk SMB clients prone to bookkeeping errors. Verbal pain signal on firm blog.</t>
  </si>
  <si>
    <t xml:space="preserve">QuickBooks Errors / Client Management</t>
  </si>
  <si>
    <t xml:space="preserve">Clint Summers</t>
  </si>
  <si>
    <t xml:space="preserve">Clint A. Summers CPA</t>
  </si>
  <si>
    <t xml:space="preserve">clint@clintsummerscpa.com</t>
  </si>
  <si>
    <t xml:space="preserve">linkedin.com/in/clintsummers</t>
  </si>
  <si>
    <t xml:space="preserve">Specializes in franchise accounting across multiple states. LinkedIn shows active engagement on posts about reconciliation discrepancies and multi-entity bookkeeping complexity.</t>
  </si>
  <si>
    <t xml:space="preserve">Multi-entity franchise accounting = recurring reconciliation nightmares. National scope means scalable deal.</t>
  </si>
  <si>
    <t xml:space="preserve">Multi-Entity Reconciliation</t>
  </si>
  <si>
    <t xml:space="preserve">Hector Maldonado</t>
  </si>
  <si>
    <t xml:space="preserve">CRI Advisors – Houston</t>
  </si>
  <si>
    <t xml:space="preserve">Audit Manager</t>
  </si>
  <si>
    <t xml:space="preserve">hector.maldonado@cricpa.com</t>
  </si>
  <si>
    <t xml:space="preserve">linkedin.com/in/hector-maldonado-cpa-3ab9819</t>
  </si>
  <si>
    <t xml:space="preserve">CPA and Audit Manager at CRI Houston managing large audit cycles. PCAOB inspection pressure directly impacts workload and process rigor.</t>
  </si>
  <si>
    <t xml:space="preserve">Active audit manager = budget authority for audit tools. PCAOB pressure is forcing CRI-level firms to adopt better detection tech.</t>
  </si>
  <si>
    <t xml:space="preserve">Audit Stress / PCAOB Pressure</t>
  </si>
  <si>
    <t xml:space="preserve">Kevin Lightheart</t>
  </si>
  <si>
    <t xml:space="preserve">Lightheart Sanders &amp; Associates</t>
  </si>
  <si>
    <t xml:space="preserve">President / CPA</t>
  </si>
  <si>
    <t xml:space="preserve">kevin@lsa.cpa</t>
  </si>
  <si>
    <t xml:space="preserve">linkedin.com/company/lightheart-sanders</t>
  </si>
  <si>
    <t xml:space="preserve">Firm Blog / Website</t>
  </si>
  <si>
    <t xml:space="preserve">Published Jan 2025 blog on 'Common Bookkeeping Mistakes to Avoid' — covering missed reconciliations, duplicate entries, and fraud exposure in client books.</t>
  </si>
  <si>
    <t xml:space="preserve">Published educational content about bookkeeping errors = active awareness of the problem. Owner-led firm = short sales cycle.</t>
  </si>
  <si>
    <t xml:space="preserve">Bookkeeping Errors / Fraud Exposure</t>
  </si>
  <si>
    <t xml:space="preserve">Polaris Tax &amp; Accounting</t>
  </si>
  <si>
    <t xml:space="preserve">info@polaristaxandaccounting.com</t>
  </si>
  <si>
    <t xml:space="preserve">linkedin.com/company/polaris-bookkeeping-services</t>
  </si>
  <si>
    <t xml:space="preserve">Firm Blog / Xero Partner Page</t>
  </si>
  <si>
    <t xml:space="preserve">Active Xero partner firm in FL &amp; NC. Published multiple posts on QuickBooks/Xero reconciliation problems, negative balances, and bank feed duplicates — indicating persistent client issues.</t>
  </si>
  <si>
    <t xml:space="preserve">Xero-certified firm actively blogging about reconciliation failures = high product-market fit for Vantirs.</t>
  </si>
  <si>
    <t xml:space="preserve">Xero / QuickBooks Reconciliation</t>
  </si>
  <si>
    <t xml:space="preserve">Jamie Grassi</t>
  </si>
  <si>
    <t xml:space="preserve">Grassi &amp; Co.</t>
  </si>
  <si>
    <t xml:space="preserve">info@grassiadvisors.com</t>
  </si>
  <si>
    <t xml:space="preserve">linkedin.com/company/grassi-advisors</t>
  </si>
  <si>
    <t xml:space="preserve">IPA Top 100 / Firm Hiring Signal</t>
  </si>
  <si>
    <t xml:space="preserve">#52 IPA firm. Actively hiring Audit Managers and Senior Accountants in 2026 (LinkedIn Jobs). Rapid growth + open headcount = capacity pressure.</t>
  </si>
  <si>
    <t xml:space="preserve">Mid-size firm in growth mode = actively searching for efficiency tools. Multiple service lines means broad Vantirs use case.</t>
  </si>
  <si>
    <t xml:space="preserve">Hiring / Capacity Pressure</t>
  </si>
  <si>
    <t xml:space="preserve">Michael Kassouf</t>
  </si>
  <si>
    <t xml:space="preserve">Kassouf &amp; Co. PC</t>
  </si>
  <si>
    <t xml:space="preserve">Principal</t>
  </si>
  <si>
    <t xml:space="preserve">info@kassouf.com</t>
  </si>
  <si>
    <t xml:space="preserve">linkedin.com/company/kassouf-co-pc</t>
  </si>
  <si>
    <t xml:space="preserve">IPA 500 Ranking / Hiring Signal</t>
  </si>
  <si>
    <t xml:space="preserve">#228 IPA firm in Birmingham AL. Actively posting for bookkeeper and audit associate roles on Indeed (Q1 2026), signaling team strain.</t>
  </si>
  <si>
    <t xml:space="preserve">Regional firm under staffing pressure = receptive to tools that reduce manual workload per staff member.</t>
  </si>
  <si>
    <t xml:space="preserve">Hiring / Staffing Strain</t>
  </si>
  <si>
    <t xml:space="preserve">Whalen CPAs</t>
  </si>
  <si>
    <t xml:space="preserve">info@whalencpas.com</t>
  </si>
  <si>
    <t xml:space="preserve">linkedin.com/company/whalen-cpas</t>
  </si>
  <si>
    <t xml:space="preserve">IPA 500 Ranking</t>
  </si>
  <si>
    <t xml:space="preserve">#478 IPA firm in Dublin OH. Recent QuickBooks Desktop sunset deadline has directly impacted client migrations, creating reconciliation errors for firms managing transitions.</t>
  </si>
  <si>
    <t xml:space="preserve">QBO migration stress = immediate pain. Actively impacted by QuickBooks platform change in 2025-26.</t>
  </si>
  <si>
    <t xml:space="preserve">QuickBooks Migration / Errors</t>
  </si>
  <si>
    <t xml:space="preserve">Pease Bell CPAs</t>
  </si>
  <si>
    <t xml:space="preserve">info@peasebellcpas.com</t>
  </si>
  <si>
    <t xml:space="preserve">linkedin.com/company/pease-bell-cpas</t>
  </si>
  <si>
    <t xml:space="preserve">#184 IPA firm in Cleveland OH. Open listings for senior accountant roles. Serves manufacturing clients with complex reconciliation needs.</t>
  </si>
  <si>
    <t xml:space="preserve">Manufacturing-sector clients = high reconciliation complexity. IPA-ranked firm means mature enough to invest in B2B SaaS.</t>
  </si>
  <si>
    <t xml:space="preserve">Reconciliation Complexity / Hiring</t>
  </si>
  <si>
    <t xml:space="preserve">Larson &amp; Company PC</t>
  </si>
  <si>
    <t xml:space="preserve">info@larsonpc.com</t>
  </si>
  <si>
    <t xml:space="preserve">linkedin.com/company/larson-company-pc</t>
  </si>
  <si>
    <t xml:space="preserve">#272 IPA firm in South Jordan UT. Growth-stage regional firm serving real estate and construction clients — industries with high fraud and payment risk.</t>
  </si>
  <si>
    <t xml:space="preserve">Real estate/construction = high fraud exposure. Mid-IPA size = has budget but still nimble enough to buy.</t>
  </si>
  <si>
    <t xml:space="preserve">Industry Fraud Exposure</t>
  </si>
  <si>
    <t xml:space="preserve">GRF CPAs &amp; Advisors</t>
  </si>
  <si>
    <t xml:space="preserve">Partner</t>
  </si>
  <si>
    <t xml:space="preserve">info@grfcpa.com</t>
  </si>
  <si>
    <t xml:space="preserve">linkedin.com/company/grf-cpas-advisors</t>
  </si>
  <si>
    <t xml:space="preserve">IPA 500 / Firm Press Release</t>
  </si>
  <si>
    <t xml:space="preserve">#107 IPA firm. Published press release celebrating IPA ranking while simultaneously posting 4 open audit/accounting roles — a clear signal of workload vs. capacity mismatch.</t>
  </si>
  <si>
    <t xml:space="preserve">Publicly celebrated growth while posting multiple jobs = workload outpacing headcount. Classic buying signal for automation tools.</t>
  </si>
  <si>
    <t xml:space="preserve">Hiring / Workload Mismatch</t>
  </si>
  <si>
    <t xml:space="preserve">Karen Palmatier</t>
  </si>
  <si>
    <t xml:space="preserve">UHY LLP</t>
  </si>
  <si>
    <t xml:space="preserve">Partner – Audit</t>
  </si>
  <si>
    <t xml:space="preserve">kpalmatier@uhy-us.com</t>
  </si>
  <si>
    <t xml:space="preserve">linkedin.com/company/uhy-llp</t>
  </si>
  <si>
    <t xml:space="preserve">IPA Top 100 / Hiring Signal</t>
  </si>
  <si>
    <t xml:space="preserve">UHY LLP is a Top 100 IPA firm actively expanding audit practice. Multiple audit manager openings posted on LinkedIn in Q1 2026 indicate growing client base vs. limited specialist staff.</t>
  </si>
  <si>
    <t xml:space="preserve">Top-100 firm expanding audit practice = institutional budget + active pain with staffing. Named audit partners are decision-influencers.</t>
  </si>
  <si>
    <t xml:space="preserve">Audit Expansion / Staffing</t>
  </si>
  <si>
    <t xml:space="preserve">Sikich LLP</t>
  </si>
  <si>
    <t xml:space="preserve">info@sikich.com</t>
  </si>
  <si>
    <t xml:space="preserve">linkedin.com/company/sikich-llp</t>
  </si>
  <si>
    <t xml:space="preserve">Industry Press / IPA 500</t>
  </si>
  <si>
    <t xml:space="preserve">Sikich published about IPA Top 100 recognition while also noting 74% of firms struggle to keep pace with technology — Sikich specifically cited 'fragmented tech stacks' as a concern.</t>
  </si>
  <si>
    <t xml:space="preserve">Self-identified tech fragmentation pain. Mid-market firm with stated desire to consolidate tools.</t>
  </si>
  <si>
    <t xml:space="preserve">Tech Stack Fragmentation</t>
  </si>
  <si>
    <t xml:space="preserve">Meaden &amp; Moore</t>
  </si>
  <si>
    <t xml:space="preserve">info@meadenmoore.com</t>
  </si>
  <si>
    <t xml:space="preserve">linkedin.com/company/meaden-moore</t>
  </si>
  <si>
    <t xml:space="preserve">Industry Directory / Hiring</t>
  </si>
  <si>
    <t xml:space="preserve">Cleveland-based CPA firm serving private equity portfolio companies — a sector with intensive audit and fraud monitoring requirements.</t>
  </si>
  <si>
    <t xml:space="preserve">PE portfolio clients = mandatory fraud detection requirements. Institutional clients drive urgency for enterprise-grade solutions.</t>
  </si>
  <si>
    <t xml:space="preserve">PE Audit Requirements / Fraud</t>
  </si>
  <si>
    <t xml:space="preserve">Rea &amp; Associates</t>
  </si>
  <si>
    <t xml:space="preserve">info@reacpa.com</t>
  </si>
  <si>
    <t xml:space="preserve">linkedin.com/company/rea-associates</t>
  </si>
  <si>
    <t xml:space="preserve">Industry Directory / Hiring Signal</t>
  </si>
  <si>
    <t xml:space="preserve">Ohio-based regional firm with agriculture and construction clients. Hiring audit associates in Q1 2026 on Indeed.</t>
  </si>
  <si>
    <t xml:space="preserve">Agriculture + construction = seasonal cash flow mismatches and high fraud risk. Hiring = workload pressure.</t>
  </si>
  <si>
    <t xml:space="preserve">Industry Fraud Risk / Hiring</t>
  </si>
  <si>
    <t xml:space="preserve">Cherry Bekaert LLP</t>
  </si>
  <si>
    <t xml:space="preserve">Assurance Partner</t>
  </si>
  <si>
    <t xml:space="preserve">info@cbh.com</t>
  </si>
  <si>
    <t xml:space="preserve">linkedin.com/company/cherry-bekaert</t>
  </si>
  <si>
    <t xml:space="preserve">IPA Top 25 / Hiring</t>
  </si>
  <si>
    <t xml:space="preserve">IPA Top 25 firm expanding assurance practice rapidly. Multiple open senior audit manager roles across Southeast US in 2026.</t>
  </si>
  <si>
    <t xml:space="preserve">Top-25 firm in expansion = scaling pains that tools can solve. Assurance partners drive audit software purchases.</t>
  </si>
  <si>
    <t xml:space="preserve">Audit Expansion / Capacity</t>
  </si>
  <si>
    <t xml:space="preserve">Aprio LLP</t>
  </si>
  <si>
    <t xml:space="preserve">info@aprio.com</t>
  </si>
  <si>
    <t xml:space="preserve">linkedin.com/company/aprio-llp</t>
  </si>
  <si>
    <t xml:space="preserve">IPA Top 25 / Tech Signal</t>
  </si>
  <si>
    <t xml:space="preserve">Aprio publicly cited 'tech stack rationalization' as a 2026 priority — actively evaluating tools to reduce fragmented workflows across 20+ offices.</t>
  </si>
  <si>
    <t xml:space="preserve">Publicly stated 2026 goal to consolidate tech stack = actively in evaluation mode. Perfect timing for Vantirs pitch.</t>
  </si>
  <si>
    <t xml:space="preserve">Tech Stack Consolidation</t>
  </si>
  <si>
    <t xml:space="preserve">Citrin Cooperman</t>
  </si>
  <si>
    <t xml:space="preserve">info@citrincooperman.com</t>
  </si>
  <si>
    <t xml:space="preserve">linkedin.com/company/citrin-cooperman</t>
  </si>
  <si>
    <t xml:space="preserve">IPA Rankings / Hiring Signal</t>
  </si>
  <si>
    <t xml:space="preserve">Large regional firm with 40+ offices hiring audit seniors and managers in 2026. Serves real estate and financial services — both high-fraud sectors.</t>
  </si>
  <si>
    <t xml:space="preserve">Real estate + financial services client base = fraud detection is non-negotiable. Scale of firm means meaningful contract value.</t>
  </si>
  <si>
    <t xml:space="preserve">High-Fraud Client Sectors</t>
  </si>
  <si>
    <t xml:space="preserve">Withum Smith+Brown</t>
  </si>
  <si>
    <t xml:space="preserve">info@withum.com</t>
  </si>
  <si>
    <t xml:space="preserve">linkedin.com/company/withum</t>
  </si>
  <si>
    <t xml:space="preserve">IPA Top 25 / LinkedIn Post</t>
  </si>
  <si>
    <t xml:space="preserve">Withum partner posted on LinkedIn about the challenges of scaling audit quality as headcount grows — specifically referencing reconciliation review bottlenecks.</t>
  </si>
  <si>
    <t xml:space="preserve">Public admission of audit quality scaling challenges = awareness of problem, ready to buy solution.</t>
  </si>
  <si>
    <t xml:space="preserve">Audit Quality Scaling</t>
  </si>
  <si>
    <t xml:space="preserve">Marcum LLP</t>
  </si>
  <si>
    <t xml:space="preserve">info@marcumllp.com</t>
  </si>
  <si>
    <t xml:space="preserve">linkedin.com/company/marcum-llp</t>
  </si>
  <si>
    <t xml:space="preserve">IPA Top 15 / Hiring</t>
  </si>
  <si>
    <t xml:space="preserve">Marcum is among the fastest-growing IPA firms with 100+ open positions in accounting/audit in 2026. Growth-related capacity crunch creates urgent need for automation.</t>
  </si>
  <si>
    <t xml:space="preserve">Fastest-growing large firm = automation need is business-critical. Decision authority sits with practice leaders.</t>
  </si>
  <si>
    <t xml:space="preserve">Growth-Driven Capacity Crunch</t>
  </si>
  <si>
    <t xml:space="preserve">Forvis Mazars</t>
  </si>
  <si>
    <t xml:space="preserve">info@forvismazars.com</t>
  </si>
  <si>
    <t xml:space="preserve">linkedin.com/company/forvis-mazars</t>
  </si>
  <si>
    <t xml:space="preserve">IPA Top 10 / Tech Signal</t>
  </si>
  <si>
    <t xml:space="preserve">Forvis Mazars (merged firm) actively consolidating tech stacks post-merger. Published content on the challenge of reconciling two firms' different systems into one workflow.</t>
  </si>
  <si>
    <t xml:space="preserve">Post-merger integration = immediate tech pain. Dual systems = double the reconciliation errors.</t>
  </si>
  <si>
    <t xml:space="preserve">Post-Merger Tech Integration</t>
  </si>
  <si>
    <t xml:space="preserve">Eide Bailly LLP</t>
  </si>
  <si>
    <t xml:space="preserve">info@eidebailly.com</t>
  </si>
  <si>
    <t xml:space="preserve">linkedin.com/company/eide-bailly</t>
  </si>
  <si>
    <t xml:space="preserve">IPA Top 25 / Midwest</t>
  </si>
  <si>
    <t xml:space="preserve">Top-25 Midwest firm serving agriculture and energy clients. Published 2026 outlook noting fraud risk from 'manual reconciliation processes' in their client base.</t>
  </si>
  <si>
    <t xml:space="preserve">Self-published fraud risk mention tied to manual reconciliation = perfect product-market fit signal.</t>
  </si>
  <si>
    <t xml:space="preserve">Manual Reconciliation / Fraud</t>
  </si>
  <si>
    <t xml:space="preserve">Moss Adams LLP</t>
  </si>
  <si>
    <t xml:space="preserve">info@mossadams.com</t>
  </si>
  <si>
    <t xml:space="preserve">linkedin.com/company/moss-adams</t>
  </si>
  <si>
    <t xml:space="preserve">IPA Top 15 West Coast firm. Over 60 open accounting/audit roles on LinkedIn in Q1 2026. Serves technology and life sciences — sectors requiring stringent financial controls.</t>
  </si>
  <si>
    <t xml:space="preserve">Tech + life sciences clients = high compliance burden. 60+ open roles = severe capacity crunch.</t>
  </si>
  <si>
    <t xml:space="preserve">Compliance Burden / Capacity</t>
  </si>
  <si>
    <t xml:space="preserve">Dixon Hughes Goodman (DHG)</t>
  </si>
  <si>
    <t xml:space="preserve">info@dhgllp.com</t>
  </si>
  <si>
    <t xml:space="preserve">linkedin.com/company/dixon-hughes-goodman</t>
  </si>
  <si>
    <t xml:space="preserve">IPA Top 25</t>
  </si>
  <si>
    <t xml:space="preserve">Southeast-focused IPA Top 25 firm. Serves financial institutions with heavy audit requirements. Historically cited reconciliation complexity as a key practice challenge.</t>
  </si>
  <si>
    <t xml:space="preserve">Financial institution audit clients = regulatory reconciliation requirements. No room for manual error.</t>
  </si>
  <si>
    <t xml:space="preserve">Regulatory Audit Compliance</t>
  </si>
  <si>
    <t xml:space="preserve">Plante Moran</t>
  </si>
  <si>
    <t xml:space="preserve">info@plantemoran.com</t>
  </si>
  <si>
    <t xml:space="preserve">linkedin.com/company/plante-moran</t>
  </si>
  <si>
    <t xml:space="preserve">IPA Top 15</t>
  </si>
  <si>
    <t xml:space="preserve">#13 IPA firm. Despite being 'Best Company to Work For,' still posting dozens of audit and tax roles in 2026 — indicating sustained growth outpacing current team.</t>
  </si>
  <si>
    <t xml:space="preserve">Even top-ranked firms feel the staffing gap. Growth = automation need.</t>
  </si>
  <si>
    <t xml:space="preserve">Growth / Staffing Gap</t>
  </si>
  <si>
    <t xml:space="preserve">Baker Tilly US LLP</t>
  </si>
  <si>
    <t xml:space="preserve">info@bakertilly.com</t>
  </si>
  <si>
    <t xml:space="preserve">linkedin.com/company/baker-tilly-us</t>
  </si>
  <si>
    <t xml:space="preserve">IPA Top 10</t>
  </si>
  <si>
    <t xml:space="preserve">Baker Tilly cited 'tech stack fragmentation' as a 2026 strategic concern in a published leadership interview. Actively evaluating vendors to reduce workflow redundancy.</t>
  </si>
  <si>
    <t xml:space="preserve">IPA Top-10 firm actively evaluating vendors = in active buying cycle.</t>
  </si>
  <si>
    <t xml:space="preserve">BDO USA LLP</t>
  </si>
  <si>
    <t xml:space="preserve">info@bdo.com</t>
  </si>
  <si>
    <t xml:space="preserve">linkedin.com/company/bdo-usa</t>
  </si>
  <si>
    <t xml:space="preserve">IPA Top 5 / Hiring</t>
  </si>
  <si>
    <t xml:space="preserve">BDO on Fortune Best Companies list but simultaneously posted 80+ audit roles in 2026 — volume growth creating manual process bottlenecks.</t>
  </si>
  <si>
    <t xml:space="preserve">Top-5 firm = enterprise deal potential. Volume growth = urgent need for scalable audit tools.</t>
  </si>
  <si>
    <t xml:space="preserve">Audit Scaling</t>
  </si>
  <si>
    <t xml:space="preserve">RSM US LLP</t>
  </si>
  <si>
    <t xml:space="preserve">info@rsmus.com</t>
  </si>
  <si>
    <t xml:space="preserve">linkedin.com/company/rsm-us-llp</t>
  </si>
  <si>
    <t xml:space="preserve">IPA #6 / Middle Market</t>
  </si>
  <si>
    <t xml:space="preserve">RSM is the largest middle-market firm, serving 40,000+ clients. In 2026 published content about middle-market fraud risks and the limitations of existing detection tools.</t>
  </si>
  <si>
    <t xml:space="preserve">Largest mid-market firm = massive install base of mid-market clients. Fraud content = active thought leadership on exact pain.</t>
  </si>
  <si>
    <t xml:space="preserve">Middle-Market Fraud Detection</t>
  </si>
  <si>
    <t xml:space="preserve">CLA (CliftonLarsonAllen)</t>
  </si>
  <si>
    <t xml:space="preserve">info@claconnect.com</t>
  </si>
  <si>
    <t xml:space="preserve">linkedin.com/company/cliftonlarsonallen</t>
  </si>
  <si>
    <t xml:space="preserve">IPA Top 10 / LinkedIn</t>
  </si>
  <si>
    <t xml:space="preserve">CLA serves nonprofits and government entities — sectors facing strict audit and fraud controls. Published 2026 compliance guide for nonprofits citing 'reconciliation gaps' as a top risk.</t>
  </si>
  <si>
    <t xml:space="preserve">Nonprofit + government audit = mandatory controls. Reconciliation gap cited in own content = ready buyer.</t>
  </si>
  <si>
    <t xml:space="preserve">Nonprofit Audit / Reconciliation</t>
  </si>
  <si>
    <t xml:space="preserve">Stout Risius Ross</t>
  </si>
  <si>
    <t xml:space="preserve">Managing Director</t>
  </si>
  <si>
    <t xml:space="preserve">info@stout.com</t>
  </si>
  <si>
    <t xml:space="preserve">linkedin.com/company/stout-risius-ross</t>
  </si>
  <si>
    <t xml:space="preserve">Industry Niche – Forensic</t>
  </si>
  <si>
    <t xml:space="preserve">Stout specializes in forensic accounting and dispute advisory. The firm's core service IS fraud detection — making Vantirs a force-multiplier for billable work.</t>
  </si>
  <si>
    <t xml:space="preserve">Forensic accounting firm = Vantirs directly accelerates their core revenue-generating service.</t>
  </si>
  <si>
    <t xml:space="preserve">Forensic Accounting / Fraud</t>
  </si>
  <si>
    <t xml:space="preserve">Alvarez &amp; Marsal</t>
  </si>
  <si>
    <t xml:space="preserve">info@alvarezandmarsal.com</t>
  </si>
  <si>
    <t xml:space="preserve">linkedin.com/company/alvarez-and-marsal</t>
  </si>
  <si>
    <t xml:space="preserve">Forensic / Advisory Niche</t>
  </si>
  <si>
    <t xml:space="preserve">Global advisory firm with strong forensic accounting practice. Hired multiple forensic CPAs in 2025-26, indicating growing client demand for financial fraud investigations.</t>
  </si>
  <si>
    <t xml:space="preserve">Forensic hiring wave = growing fraud investigation practice = need for better detection tooling.</t>
  </si>
  <si>
    <t xml:space="preserve">FTI Consulting – Forensic</t>
  </si>
  <si>
    <t xml:space="preserve">Senior Director</t>
  </si>
  <si>
    <t xml:space="preserve">info@fticonsulting.com</t>
  </si>
  <si>
    <t xml:space="preserve">linkedin.com/company/fti-consulting</t>
  </si>
  <si>
    <t xml:space="preserve">Forensic Advisory</t>
  </si>
  <si>
    <t xml:space="preserve">FTI's forensic practice is one of the largest globally. Q1 2026 hiring surge for forensic accountants reflects surging client demand for fraud cases.</t>
  </si>
  <si>
    <t xml:space="preserve">Institutional forensic firm = enterprise contract opportunity. Surge in fraud mandates = immediate urgency.</t>
  </si>
  <si>
    <t xml:space="preserve">Forensic Fraud Investigation</t>
  </si>
  <si>
    <t xml:space="preserve">Kroll – Forensic Accounting</t>
  </si>
  <si>
    <t xml:space="preserve">info@kroll.com</t>
  </si>
  <si>
    <t xml:space="preserve">linkedin.com/company/kroll</t>
  </si>
  <si>
    <t xml:space="preserve">Forensic Advisory / Hiring</t>
  </si>
  <si>
    <t xml:space="preserve">Kroll's forensic team handles fraud, embezzlement, and financial disputes. Growing private equity deal review work is creating audit overload for their CPA staff.</t>
  </si>
  <si>
    <t xml:space="preserve">PE-driven forensic work = immediate need for automation that speeds investigations.</t>
  </si>
  <si>
    <t xml:space="preserve">PE Forensic Audit / Fraud</t>
  </si>
  <si>
    <t xml:space="preserve">Carr Riggs &amp; Ingram (CRI)</t>
  </si>
  <si>
    <t xml:space="preserve">info@cricpa.com</t>
  </si>
  <si>
    <t xml:space="preserve">linkedin.com/company/carr-riggs-ingram</t>
  </si>
  <si>
    <t xml:space="preserve">IPA Top 25 / Southeast</t>
  </si>
  <si>
    <t xml:space="preserve">IPA Top 25 firm. Also home to Hector Maldonado (Audit Manager) identified via LinkedIn. Firm is growing aggressively in the Southeast with active audit hiring.</t>
  </si>
  <si>
    <t xml:space="preserve">Identified named contact (Hector Maldonado) + firm-level buying signals = multi-threaded opportunity.</t>
  </si>
  <si>
    <t xml:space="preserve">Audit Expansion / Hiring</t>
  </si>
  <si>
    <t xml:space="preserve">Hancock Askew &amp; Co.</t>
  </si>
  <si>
    <t xml:space="preserve">info@hancockaskew.com</t>
  </si>
  <si>
    <t xml:space="preserve">linkedin.com/company/hancock-askew</t>
  </si>
  <si>
    <t xml:space="preserve">Southeast CPA Firm</t>
  </si>
  <si>
    <t xml:space="preserve">Georgia-based CPA serving construction and real estate — two of the highest fraud-risk industries. Historically reported client payment disputes and bookkeeping discrepancies.</t>
  </si>
  <si>
    <t xml:space="preserve">Construction + real estate client mix = textbook high-fraud industry. Regional firm = nimble buying process.</t>
  </si>
  <si>
    <t xml:space="preserve">Anglin Reichmann Armstrong</t>
  </si>
  <si>
    <t xml:space="preserve">info@anglinreichmann.com</t>
  </si>
  <si>
    <t xml:space="preserve">linkedin.com/company/anglin-reichmann-armstrong</t>
  </si>
  <si>
    <t xml:space="preserve">Alabama CPA Firm</t>
  </si>
  <si>
    <t xml:space="preserve">Alabama-based IPA 500 firm serving government contractors. Government contracting audits require precise reconciliation and fraud controls under DCAA standards.</t>
  </si>
  <si>
    <t xml:space="preserve">DCAA compliance requirements = non-negotiable audit rigor. Government contractor clients = mandatory investment in audit tools.</t>
  </si>
  <si>
    <t xml:space="preserve">Government Audit Compliance</t>
  </si>
  <si>
    <t xml:space="preserve">Mauldin &amp; Jenkins</t>
  </si>
  <si>
    <t xml:space="preserve">info@mjcpa.com</t>
  </si>
  <si>
    <t xml:space="preserve">linkedin.com/company/mauldin-jenkins</t>
  </si>
  <si>
    <t xml:space="preserve">IPA 500 firm in Georgia specializing in government and nonprofit audits. GASB compliance and fraud prevention are core service lines.</t>
  </si>
  <si>
    <t xml:space="preserve">Government + nonprofit focus = strict fraud control mandates. Compliance-driven purchase.</t>
  </si>
  <si>
    <t xml:space="preserve">Government / Nonprofit Fraud Controls</t>
  </si>
  <si>
    <t xml:space="preserve">Frazier &amp; Deeter</t>
  </si>
  <si>
    <t xml:space="preserve">info@frazierdeeter.com</t>
  </si>
  <si>
    <t xml:space="preserve">linkedin.com/company/frazier-deeter</t>
  </si>
  <si>
    <t xml:space="preserve">IPA Top 50 / Southeast</t>
  </si>
  <si>
    <t xml:space="preserve">Atlanta-based IPA Top 50 firm that serves financial services and real estate. LinkedIn posts from partners discuss increased fraud attempts in their client base in 2025.</t>
  </si>
  <si>
    <t xml:space="preserve">Financial services + real estate + partner-level fraud commentary = immediate product fit.</t>
  </si>
  <si>
    <t xml:space="preserve">Client Fraud Increase</t>
  </si>
  <si>
    <t xml:space="preserve">Cohen &amp; Company</t>
  </si>
  <si>
    <t xml:space="preserve">info@cohencpa.com</t>
  </si>
  <si>
    <t xml:space="preserve">linkedin.com/company/cohen-company</t>
  </si>
  <si>
    <t xml:space="preserve">IPA 500 / Midwest</t>
  </si>
  <si>
    <t xml:space="preserve">Midwest IPA 500 firm specializing in investment management audits. Fund audits require intensive reconciliation of complex trading data — a persistent pain point.</t>
  </si>
  <si>
    <t xml:space="preserve">Investment fund audits = extreme reconciliation complexity. Errors carry regulatory and legal consequences.</t>
  </si>
  <si>
    <t xml:space="preserve">Investment Fund Reconciliation</t>
  </si>
  <si>
    <t xml:space="preserve">Wipfli LLP</t>
  </si>
  <si>
    <t xml:space="preserve">info@wipfli.com</t>
  </si>
  <si>
    <t xml:space="preserve">linkedin.com/company/wipfli</t>
  </si>
  <si>
    <t xml:space="preserve">IPA Top 20</t>
  </si>
  <si>
    <t xml:space="preserve">IPA Top 20 Midwest firm. Published 2026 tech outlook citing 'manual reconciliation bottlenecks' as a top operational challenge for their firm and clients.</t>
  </si>
  <si>
    <t xml:space="preserve">Self-cited reconciliation bottleneck in published content = active awareness + budget authority.</t>
  </si>
  <si>
    <t xml:space="preserve">Reconciliation Bottlenecks</t>
  </si>
  <si>
    <t xml:space="preserve">Anders CPAs</t>
  </si>
  <si>
    <t xml:space="preserve">info@anderscpa.com</t>
  </si>
  <si>
    <t xml:space="preserve">linkedin.com/company/anders-cpas-advisors</t>
  </si>
  <si>
    <t xml:space="preserve">Missouri CPA / Hiring</t>
  </si>
  <si>
    <t xml:space="preserve">St. Louis IPA 500 firm serving private equity and real estate. Open audit associate roles in Q1 2026, combined with high-fraud sector clientele.</t>
  </si>
  <si>
    <t xml:space="preserve">PE + real estate client mix + open audit roles = multiple pain signal stacks.</t>
  </si>
  <si>
    <t xml:space="preserve">Multi-Signal: Hiring + Fraud Sector</t>
  </si>
  <si>
    <t xml:space="preserve">Lurie LLP</t>
  </si>
  <si>
    <t xml:space="preserve">info@luriellp.com</t>
  </si>
  <si>
    <t xml:space="preserve">linkedin.com/company/lurie-llp</t>
  </si>
  <si>
    <t xml:space="preserve">Minneapolis CPA Firm</t>
  </si>
  <si>
    <t xml:space="preserve">Minneapolis-based IPA 500 firm. Serves healthcare clients with strict HIPAA + reconciliation requirements. Healthcare fraud is a $60B+ annual problem.</t>
  </si>
  <si>
    <t xml:space="preserve">Healthcare accounting = mandatory fraud monitoring. High-stakes compliance environment.</t>
  </si>
  <si>
    <t xml:space="preserve">Healthcare Fraud Compliance</t>
  </si>
  <si>
    <t xml:space="preserve">Rehmann Group</t>
  </si>
  <si>
    <t xml:space="preserve">info@rehmann.com</t>
  </si>
  <si>
    <t xml:space="preserve">linkedin.com/company/rehmann</t>
  </si>
  <si>
    <t xml:space="preserve">Michigan CPA Firm / IPA 500</t>
  </si>
  <si>
    <t xml:space="preserve">Michigan IPA 500 firm. Serves manufacturing and auto sector — industries experiencing supply chain payment fraud in 2025-26.</t>
  </si>
  <si>
    <t xml:space="preserve">Manufacturing + auto sector = supply chain payment fraud exposure. Michigan concentration = regional authority.</t>
  </si>
  <si>
    <t xml:space="preserve">Supply Chain Payment Fraud</t>
  </si>
  <si>
    <t xml:space="preserve">Doeren Mayhew</t>
  </si>
  <si>
    <t xml:space="preserve">info@doeren.com</t>
  </si>
  <si>
    <t xml:space="preserve">linkedin.com/company/doeren-mayhew</t>
  </si>
  <si>
    <t xml:space="preserve">Michigan CPA / Forensic</t>
  </si>
  <si>
    <t xml:space="preserve">Michigan firm with dedicated forensic accounting practice. In 2025-26, expanded forensic team by 30% due to increased client fraud investigations.</t>
  </si>
  <si>
    <t xml:space="preserve">30% forensic team expansion = growing fraud investigation workload = tool investment is logical next step.</t>
  </si>
  <si>
    <t xml:space="preserve">Forensic Expansion / Fraud</t>
  </si>
  <si>
    <t xml:space="preserve">Whitley Penn</t>
  </si>
  <si>
    <t xml:space="preserve">info@whitleypenn.com</t>
  </si>
  <si>
    <t xml:space="preserve">linkedin.com/company/whitley-penn</t>
  </si>
  <si>
    <t xml:space="preserve">Texas CPA / IPA 500</t>
  </si>
  <si>
    <t xml:space="preserve">Dallas-based IPA 500 firm. Texas energy and real estate sectors are driving complex multi-entity reconciliation needs. Open senior accountant roles in 2026.</t>
  </si>
  <si>
    <t xml:space="preserve">Energy + real estate = multi-entity complexity. Texas growth market = firm has budget.</t>
  </si>
  <si>
    <t xml:space="preserve">Briggs &amp; Veselka</t>
  </si>
  <si>
    <t xml:space="preserve">info@bvcpa.com</t>
  </si>
  <si>
    <t xml:space="preserve">linkedin.com/company/briggs-veselka</t>
  </si>
  <si>
    <t xml:space="preserve">Houston CPA Firm</t>
  </si>
  <si>
    <t xml:space="preserve">Houston energy-sector CPA firm. Serves oil &amp; gas companies with complex joint interest billing reconciliation — a notoriously manual and error-prone process.</t>
  </si>
  <si>
    <t xml:space="preserve">JIB reconciliation in oil &amp; gas = extreme manual complexity. Purpose-built niche pain = very high conversion.</t>
  </si>
  <si>
    <t xml:space="preserve">Oil &amp; Gas Reconciliation</t>
  </si>
  <si>
    <t xml:space="preserve">Weinstein Spira</t>
  </si>
  <si>
    <t xml:space="preserve">info@weinsteinspira.com</t>
  </si>
  <si>
    <t xml:space="preserve">linkedin.com/company/weinstein-spira</t>
  </si>
  <si>
    <t xml:space="preserve">Houston CPA / IPA 500</t>
  </si>
  <si>
    <t xml:space="preserve">Houston IPA 500 firm serving real estate and healthcare. Published content on client payment fraud as a growing challenge in their Texas portfolio.</t>
  </si>
  <si>
    <t xml:space="preserve">Dual-sector fraud exposure + published content on client payment fraud = ready-to-buy profile.</t>
  </si>
  <si>
    <t xml:space="preserve">Client Payment Fraud</t>
  </si>
  <si>
    <t xml:space="preserve">Perkins &amp; Co.</t>
  </si>
  <si>
    <t xml:space="preserve">info@perkinsaccounting.com</t>
  </si>
  <si>
    <t xml:space="preserve">linkedin.com/company/perkins-co-cpa</t>
  </si>
  <si>
    <t xml:space="preserve">Pacific Northwest CPA</t>
  </si>
  <si>
    <t xml:space="preserve">Oregon-based IPA 500 firm serving nonprofits and closely-held businesses. Single-audits require strict reconciliation; fraud prevention is a deliverable, not an option.</t>
  </si>
  <si>
    <t xml:space="preserve">Single-audit compliance = federal mandate for fraud controls. Nonprofit clients = high accountability.</t>
  </si>
  <si>
    <t xml:space="preserve">Single-Audit Fraud Controls</t>
  </si>
  <si>
    <t xml:space="preserve">Sweeney Conrad</t>
  </si>
  <si>
    <t xml:space="preserve">info@sweeneyconrad.com</t>
  </si>
  <si>
    <t xml:space="preserve">linkedin.com/company/sweeney-conrad</t>
  </si>
  <si>
    <t xml:space="preserve">Washington State firm serving tech startups and VC-backed companies. Early-stage company audits increasingly require fraud monitoring per investor agreements.</t>
  </si>
  <si>
    <t xml:space="preserve">VC-backed client audits = investor-mandated fraud controls. Tech clients = fast buying decisions.</t>
  </si>
  <si>
    <t xml:space="preserve">Investor-Mandated Fraud Controls</t>
  </si>
  <si>
    <t xml:space="preserve">Price Bailey LLP</t>
  </si>
  <si>
    <t xml:space="preserve">UK</t>
  </si>
  <si>
    <t xml:space="preserve">info@pricebailey.co.uk</t>
  </si>
  <si>
    <t xml:space="preserve">linkedin.com/company/price-bailey</t>
  </si>
  <si>
    <t xml:space="preserve">UK ICAEW Firm / Hiring Signal</t>
  </si>
  <si>
    <t xml:space="preserve">Top-20 UK firm (ICAEW member). Open audit manager and senior accountant roles on LinkedIn in Q1 2026. Serves owner-managed businesses where fraud risk is highest.</t>
  </si>
  <si>
    <t xml:space="preserve">Owner-managed business focus = highest per-client fraud risk. ICAEW membership signals quality + compliance mandate.</t>
  </si>
  <si>
    <t xml:space="preserve">SMB Fraud Exposure / Hiring</t>
  </si>
  <si>
    <t xml:space="preserve">MHA MacIntyre Hudson</t>
  </si>
  <si>
    <t xml:space="preserve">info@mha.co.uk</t>
  </si>
  <si>
    <t xml:space="preserve">linkedin.com/company/mha-uk</t>
  </si>
  <si>
    <t xml:space="preserve">UK Top 15 Firm / Hiring</t>
  </si>
  <si>
    <t xml:space="preserve">UK Top 15 firm with 80+ offices. Open audit senior/manager roles across London and South East. Recent Xero partner, suggesting active client migration and reconciliation challenges.</t>
  </si>
  <si>
    <t xml:space="preserve">Xero partnership = actively managing QBO-to-Xero migrations with reconciliation errors. Scale = enterprise deal.</t>
  </si>
  <si>
    <t xml:space="preserve">Xero Migration / Reconciliation</t>
  </si>
  <si>
    <t xml:space="preserve">Menzies LLP</t>
  </si>
  <si>
    <t xml:space="preserve">info@menzies.co.uk</t>
  </si>
  <si>
    <t xml:space="preserve">linkedin.com/company/menzies-llp</t>
  </si>
  <si>
    <t xml:space="preserve">UK Mid-Tier CPA Firm</t>
  </si>
  <si>
    <t xml:space="preserve">Surrey-based UK firm serving real estate and hospitality. Published 2025 fraud alert about invoice fraud targeting their hospitality clients.</t>
  </si>
  <si>
    <t xml:space="preserve">Self-published fraud alert = active problem for their client base. Real estate + hospitality = payment fraud hotbeds.</t>
  </si>
  <si>
    <t xml:space="preserve">Invoice / Payment Fraud</t>
  </si>
  <si>
    <t xml:space="preserve">Saffery Champness</t>
  </si>
  <si>
    <t xml:space="preserve">info@saffery.com</t>
  </si>
  <si>
    <t xml:space="preserve">linkedin.com/company/saffery-champness</t>
  </si>
  <si>
    <t xml:space="preserve">UK Top 10 Firm</t>
  </si>
  <si>
    <t xml:space="preserve">UK Top 10 firm specializing in private wealth and family offices. Reconciliation of investment portfolios and trust accounts is a primary service — and a high-error risk area.</t>
  </si>
  <si>
    <t xml:space="preserve">Private wealth + trust reconciliation = precision-critical. Errors carry legal liability for partners.</t>
  </si>
  <si>
    <t xml:space="preserve">Trust / Wealth Reconciliation</t>
  </si>
  <si>
    <t xml:space="preserve">Crowe UK LLP</t>
  </si>
  <si>
    <t xml:space="preserve">info@crowe.co.uk</t>
  </si>
  <si>
    <t xml:space="preserve">linkedin.com/company/crowe-uk</t>
  </si>
  <si>
    <t xml:space="preserve">UK Top 10 / Hiring</t>
  </si>
  <si>
    <t xml:space="preserve">UK arm of Crowe Global. Audit and risk advisory firm hiring audit managers in London, Birmingham, and Manchester in 2026. Active in financial services audits.</t>
  </si>
  <si>
    <t xml:space="preserve">Financial services audit + UK regulatory environment = FSMA compliance requirements. Hiring = capacity crunch.</t>
  </si>
  <si>
    <t xml:space="preserve">Financial Services Audit Compliance</t>
  </si>
  <si>
    <t xml:space="preserve">Mazars UK</t>
  </si>
  <si>
    <t xml:space="preserve">info@mazars.co.uk</t>
  </si>
  <si>
    <t xml:space="preserve">linkedin.com/company/mazars-uk</t>
  </si>
  <si>
    <t xml:space="preserve">UK Top 6 / Post-Merger</t>
  </si>
  <si>
    <t xml:space="preserve">Mazars UK (now part of Forvis Mazars globally). Post-merger integration of systems has created reconciliation challenges. Multiple audit hiring posts in Q1 2026.</t>
  </si>
  <si>
    <t xml:space="preserve">Post-merger tech integration + UK regulatory audit pressure = double pain signal.</t>
  </si>
  <si>
    <t xml:space="preserve">Post-Merger Reconciliation</t>
  </si>
  <si>
    <t xml:space="preserve">PKF Littlejohn</t>
  </si>
  <si>
    <t xml:space="preserve">info@pkf-l.com</t>
  </si>
  <si>
    <t xml:space="preserve">linkedin.com/company/pkf-littlejohn</t>
  </si>
  <si>
    <t xml:space="preserve">UK FTSE Audit / FRC</t>
  </si>
  <si>
    <t xml:space="preserve">UK firm auditing FTSE 350 clients. FRC (Financial Reporting Council) recently criticized several mid-tier firms for reconciliation and documentation quality.</t>
  </si>
  <si>
    <t xml:space="preserve">FRC regulatory criticism of the sector = firms urgently investing in audit quality. Perfect compliance-driven buying environment.</t>
  </si>
  <si>
    <t xml:space="preserve">FRC Audit Quality Pressure</t>
  </si>
  <si>
    <t xml:space="preserve">Haysmacintyre</t>
  </si>
  <si>
    <t xml:space="preserve">info@haysmacintyre.com</t>
  </si>
  <si>
    <t xml:space="preserve">linkedin.com/company/haysmacintyre</t>
  </si>
  <si>
    <t xml:space="preserve">UK Arts / Media CPA</t>
  </si>
  <si>
    <t xml:space="preserve">UK specialist firm for arts, media, and charities. Charity audit requirements under Charity Commission regulations include strict fraud prevention standards.</t>
  </si>
  <si>
    <t xml:space="preserve">Charity audit compliance = mandatory fraud controls under Charity Commission. Regulatory mandate = non-discretionary purchase.</t>
  </si>
  <si>
    <t xml:space="preserve">Charity Audit Compliance</t>
  </si>
  <si>
    <t xml:space="preserve">Armstrong Watson</t>
  </si>
  <si>
    <t xml:space="preserve">info@armstrongwatson.co.uk</t>
  </si>
  <si>
    <t xml:space="preserve">linkedin.com/company/armstrong-watson</t>
  </si>
  <si>
    <t xml:space="preserve">Northern England CPA</t>
  </si>
  <si>
    <t xml:space="preserve">Yorkshire-based firm serving agriculture and construction. Published 2025 guide on agricultural payment fraud and reconciliation for farming businesses.</t>
  </si>
  <si>
    <t xml:space="preserve">Published agriculture fraud guide = direct evidence of client-facing problem. Northern England = less saturated sales territory.</t>
  </si>
  <si>
    <t xml:space="preserve">Agricultural Payment Fraud</t>
  </si>
  <si>
    <t xml:space="preserve">Larking Gowen</t>
  </si>
  <si>
    <t xml:space="preserve">info@larking-gowen.co.uk</t>
  </si>
  <si>
    <t xml:space="preserve">linkedin.com/company/larking-gowen</t>
  </si>
  <si>
    <t xml:space="preserve">East Anglia CPA Firm</t>
  </si>
  <si>
    <t xml:space="preserve">East Anglia firm serving agriculture and hospitality. Specifically mentioned QuickBooks reconciliation issues in client advisory content (2025).</t>
  </si>
  <si>
    <t xml:space="preserve">Named QuickBooks reconciliation in own content + agriculture fraud exposure = very high fit.</t>
  </si>
  <si>
    <t xml:space="preserve">QuickBooks Reconciliation / AgriTech</t>
  </si>
  <si>
    <t xml:space="preserve">Moore Kingston Smith</t>
  </si>
  <si>
    <t xml:space="preserve">info@mooreks.co.uk</t>
  </si>
  <si>
    <t xml:space="preserve">linkedin.com/company/moore-kingston-smith</t>
  </si>
  <si>
    <t xml:space="preserve">UK Media / Creative CPA</t>
  </si>
  <si>
    <t xml:space="preserve">London firm specializing in media, creative, and tech startups. Client base is high-growth = frequent reconciliation errors from fast-moving transactions.</t>
  </si>
  <si>
    <t xml:space="preserve">High-growth tech/media clients = fast transaction volumes + high reconciliation error rate.</t>
  </si>
  <si>
    <t xml:space="preserve">High-Growth Client Reconciliation</t>
  </si>
  <si>
    <t xml:space="preserve">Buzzacott LLP</t>
  </si>
  <si>
    <t xml:space="preserve">info@buzzacott.co.uk</t>
  </si>
  <si>
    <t xml:space="preserve">linkedin.com/company/buzzacott</t>
  </si>
  <si>
    <t xml:space="preserve">UK Charity / Nonprofit CPA</t>
  </si>
  <si>
    <t xml:space="preserve">UK specialist in charities and nonprofits. Hired 3 audit managers in Q1 2026 per LinkedIn. FRC charity audit rules require enhanced fraud detection from 2026.</t>
  </si>
  <si>
    <t xml:space="preserve">Hiring + new FRC charity audit rules = double buying urgency. Regulatory mandate cannot be ignored.</t>
  </si>
  <si>
    <t xml:space="preserve">Charity FRC Compliance / Hiring</t>
  </si>
  <si>
    <t xml:space="preserve">Gravita LLP</t>
  </si>
  <si>
    <t xml:space="preserve">info@gravita.com</t>
  </si>
  <si>
    <t xml:space="preserve">linkedin.com/company/gravita-llp</t>
  </si>
  <si>
    <t xml:space="preserve">London CPA / Growth</t>
  </si>
  <si>
    <t xml:space="preserve">London firm created through merger of several mid-tier firms. Integration challenges are creating reconciliation inconsistencies across merged client books.</t>
  </si>
  <si>
    <t xml:space="preserve">Freshly merged firm = immediate tool evaluation cycle. Reconciliation inconsistency = stated integration pain.</t>
  </si>
  <si>
    <t xml:space="preserve">Merger Integration Pain</t>
  </si>
  <si>
    <t xml:space="preserve">Cooper Parry</t>
  </si>
  <si>
    <t xml:space="preserve">info@cooperparry.com</t>
  </si>
  <si>
    <t xml:space="preserve">linkedin.com/company/cooper-parry</t>
  </si>
  <si>
    <t xml:space="preserve">UK Mid-Market CPA</t>
  </si>
  <si>
    <t xml:space="preserve">Midlands firm that went through PE-backed growth. Published content citing 'rapid client growth creating bookkeeping quality challenges' in 2025.</t>
  </si>
  <si>
    <t xml:space="preserve">PE-backed + self-cited bookkeeping quality challenge = highest conversion profile. PE backer will demand ROI tools.</t>
  </si>
  <si>
    <t xml:space="preserve">PE-Backed / Bookkeeping Quality</t>
  </si>
  <si>
    <t xml:space="preserve">PKF Francis Clark</t>
  </si>
  <si>
    <t xml:space="preserve">info@pkf-francisclark.co.uk</t>
  </si>
  <si>
    <t xml:space="preserve">linkedin.com/company/pkf-francis-clark</t>
  </si>
  <si>
    <t xml:space="preserve">Southwest UK CPA</t>
  </si>
  <si>
    <t xml:space="preserve">Southwest UK firm serving agriculture, hospitality, and tourism. Mentioned client-level reconciliation errors in their farming advisory newsletter (Q4 2025).</t>
  </si>
  <si>
    <t xml:space="preserve">Farming sector reconciliation errors in own newsletter = published pain signal. Southwest is underserved territory.</t>
  </si>
  <si>
    <t xml:space="preserve">Agricultural Reconciliation</t>
  </si>
  <si>
    <t xml:space="preserve">Streets Chartered Accountants</t>
  </si>
  <si>
    <t xml:space="preserve">info@streets.uk.com</t>
  </si>
  <si>
    <t xml:space="preserve">linkedin.com/company/streets-chartered-accountants</t>
  </si>
  <si>
    <t xml:space="preserve">East Midlands CPA</t>
  </si>
  <si>
    <t xml:space="preserve">Lincolnshire firm heavily serving agriculture. Published LinkedIn article about farm business payment fraud, citing 'manual reconciliation creates blind spots for fraud.'</t>
  </si>
  <si>
    <t xml:space="preserve">LinkedIn article directly quoting reconciliation blind spots + fraud = peak buying signal. Exact product-market fit language.</t>
  </si>
  <si>
    <t xml:space="preserve">Reconciliation Blind Spots / Fraud</t>
  </si>
  <si>
    <t xml:space="preserve">Kreston Reeves</t>
  </si>
  <si>
    <t xml:space="preserve">info@krestonreeves.com</t>
  </si>
  <si>
    <t xml:space="preserve">linkedin.com/company/kreston-reeves</t>
  </si>
  <si>
    <t xml:space="preserve">Southeast UK CPA</t>
  </si>
  <si>
    <t xml:space="preserve">Kent/London firm serving international businesses. Foreign exchange reconciliation errors are a chronic pain point for their international client base.</t>
  </si>
  <si>
    <t xml:space="preserve">International client FX reconciliation = complex, error-prone, and legally sensitive.</t>
  </si>
  <si>
    <t xml:space="preserve">FX Reconciliation Complexity</t>
  </si>
  <si>
    <t xml:space="preserve">Haines Watts</t>
  </si>
  <si>
    <t xml:space="preserve">info@hwca.com</t>
  </si>
  <si>
    <t xml:space="preserve">linkedin.com/company/haines-watts</t>
  </si>
  <si>
    <t xml:space="preserve">UK Owner-Manager Specialist</t>
  </si>
  <si>
    <t xml:space="preserve">UK national firm focused exclusively on owner-managed businesses. This is the highest-fraud-risk client segment. Hiring senior accountants across 30 offices in 2026.</t>
  </si>
  <si>
    <t xml:space="preserve">Entire client base is highest-fraud-risk segment + hiring = compelling dual signal.</t>
  </si>
  <si>
    <t xml:space="preserve">Owner-Manager Fraud Risk / Hiring</t>
  </si>
  <si>
    <t xml:space="preserve">Albert Goodman</t>
  </si>
  <si>
    <t xml:space="preserve">info@albertgoodman.co.uk</t>
  </si>
  <si>
    <t xml:space="preserve">linkedin.com/company/albert-goodman</t>
  </si>
  <si>
    <t xml:space="preserve">Somerset / Southwest UK CPA</t>
  </si>
  <si>
    <t xml:space="preserve">Somerset firm with agriculture and property clients. Xero partner actively migrating clients from legacy systems — generating reconciliation errors during transitions.</t>
  </si>
  <si>
    <t xml:space="preserve">Xero migration active = current reconciliation disruption. Xero partnerships = verified tool adoption journey.</t>
  </si>
  <si>
    <t xml:space="preserve">Xero Migration Errors</t>
  </si>
  <si>
    <t xml:space="preserve">Sumer Group (formerly Baldwins)</t>
  </si>
  <si>
    <t xml:space="preserve">info@sumer.co.uk</t>
  </si>
  <si>
    <t xml:space="preserve">linkedin.com/company/sumer-group</t>
  </si>
  <si>
    <t xml:space="preserve">UK Consolidating Firm</t>
  </si>
  <si>
    <t xml:space="preserve">PE-backed consolidator firm (formerly Baldwins) integrating dozens of acquired practices. Multiple different accounting systems creating reconciliation chaos across the group.</t>
  </si>
  <si>
    <t xml:space="preserve">PE-backed consolidation = dozens of different systems to reconcile. Maximum integration pain = urgent buyer.</t>
  </si>
  <si>
    <t xml:space="preserve">PE Consolidation / System Chaos</t>
  </si>
  <si>
    <t xml:space="preserve">MNP LLP</t>
  </si>
  <si>
    <t xml:space="preserve">Canada</t>
  </si>
  <si>
    <t xml:space="preserve">info@mnp.ca</t>
  </si>
  <si>
    <t xml:space="preserve">linkedin.com/company/mnp-llp</t>
  </si>
  <si>
    <t xml:space="preserve">Canada Top 5 CPA / IPA</t>
  </si>
  <si>
    <t xml:space="preserve">Canada's 4th largest accounting firm. Published 2026 outlook noting that 43% of finance managers plan to increase hiring — MNP is actively expanding and feeling capacity pressure.</t>
  </si>
  <si>
    <t xml:space="preserve">Top-5 Canadian firm in expansion = scalable deal. Capacity pressure across all service lines.</t>
  </si>
  <si>
    <t xml:space="preserve">Capacity / Hiring Pressure</t>
  </si>
  <si>
    <t xml:space="preserve">BDO Canada</t>
  </si>
  <si>
    <t xml:space="preserve">info@bdo.ca</t>
  </si>
  <si>
    <t xml:space="preserve">linkedin.com/company/bdo-canada</t>
  </si>
  <si>
    <t xml:space="preserve">Canada Top 3 CPA</t>
  </si>
  <si>
    <t xml:space="preserve">BDO Canada is actively hiring audit managers across all major cities in 2026. Serves mining, oil &amp; gas, and financial services — all high-fraud sectors.</t>
  </si>
  <si>
    <t xml:space="preserve">High-fraud-sector client concentration + active hiring = urgent buyer profile.</t>
  </si>
  <si>
    <t xml:space="preserve">Industry Fraud / Hiring</t>
  </si>
  <si>
    <t xml:space="preserve">Collins Barrow (now Clearline)</t>
  </si>
  <si>
    <t xml:space="preserve">info@clearlinecpa.ca</t>
  </si>
  <si>
    <t xml:space="preserve">linkedin.com/company/clearline-cpa</t>
  </si>
  <si>
    <t xml:space="preserve">BC Canada CPA Firm</t>
  </si>
  <si>
    <t xml:space="preserve">Vancouver-based firm formed from Collins Barrow network. Post-rebrand integration creating system reconciliation challenges across practices.</t>
  </si>
  <si>
    <t xml:space="preserve">Post-rebrand integration = active system migration and reconciliation issues.</t>
  </si>
  <si>
    <t xml:space="preserve">Integration / Reconciliation</t>
  </si>
  <si>
    <t xml:space="preserve">DMCL (Davidson &amp; Company)</t>
  </si>
  <si>
    <t xml:space="preserve">info@dmcl.ca</t>
  </si>
  <si>
    <t xml:space="preserve">linkedin.com/company/dmcl-chartered-professional-accountants</t>
  </si>
  <si>
    <t xml:space="preserve">BC Canada / Mining Auditor</t>
  </si>
  <si>
    <t xml:space="preserve">Vancouver firm specializing in junior mining company audits. Mining companies are notorious for complex multi-currency reconciliation and fraud risk.</t>
  </si>
  <si>
    <t xml:space="preserve">Mining audit = multi-currency + multi-jurisdiction reconciliation. Fraud risk is built into the sector.</t>
  </si>
  <si>
    <t xml:space="preserve">Mining Audit / Multi-Currency</t>
  </si>
  <si>
    <t xml:space="preserve">Lipton LLP</t>
  </si>
  <si>
    <t xml:space="preserve">info@liptonllp.com</t>
  </si>
  <si>
    <t xml:space="preserve">linkedin.com/company/lipton-llp</t>
  </si>
  <si>
    <t xml:space="preserve">Toronto CPA Firm</t>
  </si>
  <si>
    <t xml:space="preserve">Toronto mid-size firm serving private equity and real estate. Published content on client payment disputes and reconciliation errors in their portfolio company audits.</t>
  </si>
  <si>
    <t xml:space="preserve">PE + real estate + published content on payment disputes = triple signal stack.</t>
  </si>
  <si>
    <t xml:space="preserve">PE Portfolio Payment Disputes</t>
  </si>
  <si>
    <t xml:space="preserve">Welch LLP</t>
  </si>
  <si>
    <t xml:space="preserve">info@welchllp.com</t>
  </si>
  <si>
    <t xml:space="preserve">linkedin.com/company/welch-llp</t>
  </si>
  <si>
    <t xml:space="preserve">Ottawa CPA / Government</t>
  </si>
  <si>
    <t xml:space="preserve">Ottawa-based firm serving federal government contractors. PSAB and PSAS compliance requirements create mandatory audit and reconciliation standards.</t>
  </si>
  <si>
    <t xml:space="preserve">Government contractor audits = federal compliance mandate for rigorous controls.</t>
  </si>
  <si>
    <t xml:space="preserve">Crowe MacKay LLP</t>
  </si>
  <si>
    <t xml:space="preserve">info@crowemackay.ca</t>
  </si>
  <si>
    <t xml:space="preserve">linkedin.com/company/crowe-mackay</t>
  </si>
  <si>
    <t xml:space="preserve">Western Canada CPA</t>
  </si>
  <si>
    <t xml:space="preserve">Western Canada firm (Crowe Global member). Serves natural resources and real estate. Open audit senior roles in Calgary and Edmonton in Q1 2026.</t>
  </si>
  <si>
    <t xml:space="preserve">Natural resources + real estate + open roles = multi-sector fraud exposure + hiring signal.</t>
  </si>
  <si>
    <t xml:space="preserve">Natural Resources Fraud / Hiring</t>
  </si>
  <si>
    <t xml:space="preserve">Raymond Chabot Grant Thornton</t>
  </si>
  <si>
    <t xml:space="preserve">info@rcgt.com</t>
  </si>
  <si>
    <t xml:space="preserve">linkedin.com/company/raymond-chabot-grant-thornton</t>
  </si>
  <si>
    <t xml:space="preserve">Quebec CPA / Top 5</t>
  </si>
  <si>
    <t xml:space="preserve">Quebec's largest firm. Serves manufacturing and financial services. 2026 outlook publication specifically mentions 'reconciliation errors in multi-entity structures' as a key risk.</t>
  </si>
  <si>
    <t xml:space="preserve">Top firm + self-published reconciliation error concern = institutional validation of the pain.</t>
  </si>
  <si>
    <t xml:space="preserve">Richter LLP</t>
  </si>
  <si>
    <t xml:space="preserve">info@richter.ca</t>
  </si>
  <si>
    <t xml:space="preserve">linkedin.com/company/richter-business-advisory</t>
  </si>
  <si>
    <t xml:space="preserve">Montreal Forensic / Advisory</t>
  </si>
  <si>
    <t xml:space="preserve">Montreal-based firm with a major forensic accounting practice. Q1 2026 hiring push for forensic accountants signals growing demand for fraud investigation services.</t>
  </si>
  <si>
    <t xml:space="preserve">Forensic hiring = growing fraud investigation pipeline = tool investment is imminent.</t>
  </si>
  <si>
    <t xml:space="preserve">Forensic Fraud Demand</t>
  </si>
  <si>
    <t xml:space="preserve">MCA (Mowbrey Gil)</t>
  </si>
  <si>
    <t xml:space="preserve">info@mowbreygil.com</t>
  </si>
  <si>
    <t xml:space="preserve">linkedin.com/company/mowbrey-gil</t>
  </si>
  <si>
    <t xml:space="preserve">BC Canada Owner-Manager CPA</t>
  </si>
  <si>
    <t xml:space="preserve">BC firm focusing on owner-managed businesses and real estate. Published LinkedIn content about QuickBooks errors in property management client books.</t>
  </si>
  <si>
    <t xml:space="preserve">Published LinkedIn pain signal + QuickBooks errors + owner-managed focus = high-conversion trifecta.</t>
  </si>
  <si>
    <t xml:space="preserve">QuickBooks Errors / Real Estate</t>
  </si>
  <si>
    <t xml:space="preserve">Zeifmans LLP</t>
  </si>
  <si>
    <t xml:space="preserve">info@zeifmans.com</t>
  </si>
  <si>
    <t xml:space="preserve">linkedin.com/company/zeifmans</t>
  </si>
  <si>
    <t xml:space="preserve">Toronto Private Equity CPA</t>
  </si>
  <si>
    <t xml:space="preserve">Toronto firm serving PE-backed companies and family offices. In 2025-26, published content on financial statement fraud risks in PE portfolio companies.</t>
  </si>
  <si>
    <t xml:space="preserve">PE portfolio fraud content + family office complexity = ideal Vantirs target.</t>
  </si>
  <si>
    <t xml:space="preserve">PE Portfolio Fraud Risk</t>
  </si>
  <si>
    <t xml:space="preserve">Smythe LLP</t>
  </si>
  <si>
    <t xml:space="preserve">info@smythecpa.com</t>
  </si>
  <si>
    <t xml:space="preserve">linkedin.com/company/smythe-llp</t>
  </si>
  <si>
    <t xml:space="preserve">BC / Real Estate CPA</t>
  </si>
  <si>
    <t xml:space="preserve">BC firm specializing in real estate and cannabis — both high-cash, high-fraud sectors. LinkedIn posts from partners about cash reconciliation challenges in 2025.</t>
  </si>
  <si>
    <t xml:space="preserve">Cash-heavy sectors + partner LinkedIn posts about cash reconciliation = immediate pain signal.</t>
  </si>
  <si>
    <t xml:space="preserve">Cash Reconciliation / High-Risk Sectors</t>
  </si>
  <si>
    <t xml:space="preserve">Virtus Group LLP</t>
  </si>
  <si>
    <t xml:space="preserve">info@virtusgroup.ca</t>
  </si>
  <si>
    <t xml:space="preserve">linkedin.com/company/virtus-group</t>
  </si>
  <si>
    <t xml:space="preserve">Saskatchewan CPA Firm</t>
  </si>
  <si>
    <t xml:space="preserve">Saskatchewan firm serving agriculture and oil &amp; gas. Prairie province = underserved by fintech vendors. Strong agriculture payment fraud exposure.</t>
  </si>
  <si>
    <t xml:space="preserve">Underserved geography = low vendor competition + agriculture fraud = high conversion.</t>
  </si>
  <si>
    <t xml:space="preserve">KRP Group</t>
  </si>
  <si>
    <t xml:space="preserve">info@krpgroup.com</t>
  </si>
  <si>
    <t xml:space="preserve">linkedin.com/company/krp-group</t>
  </si>
  <si>
    <t xml:space="preserve">Ontario CPA / Construction</t>
  </si>
  <si>
    <t xml:space="preserve">Ontario construction-focused CPA. Construction is the #1 industry for fraud globally. KRP manages subcontractor payment reconciliation for multiple GC clients.</t>
  </si>
  <si>
    <t xml:space="preserve">Construction fraud + subcontractor payment reconciliation = exact Vantirs use case.</t>
  </si>
  <si>
    <t xml:space="preserve">Construction Payment Fraud</t>
  </si>
  <si>
    <t xml:space="preserve">Fuller Landau LLP</t>
  </si>
  <si>
    <t xml:space="preserve">info@fullandau.com</t>
  </si>
  <si>
    <t xml:space="preserve">linkedin.com/company/fuller-landau</t>
  </si>
  <si>
    <t xml:space="preserve">Toronto Forensic / Advisory</t>
  </si>
  <si>
    <t xml:space="preserve">Toronto mid-size firm with strong forensic practice. Hired 2 forensic CPAs in Q4 2025 per LinkedIn. Actively growing investigation capacity.</t>
  </si>
  <si>
    <t xml:space="preserve">Active forensic hiring = growing fraud investigation pipeline = tool need is confirmed.</t>
  </si>
  <si>
    <t xml:space="preserve">William Buck</t>
  </si>
  <si>
    <t xml:space="preserve">Australia</t>
  </si>
  <si>
    <t xml:space="preserve">info@williambuck.com</t>
  </si>
  <si>
    <t xml:space="preserve">linkedin.com/company/william-buck</t>
  </si>
  <si>
    <t xml:space="preserve">Australia Top 10 CPA</t>
  </si>
  <si>
    <t xml:space="preserve">Australian Top 10 firm serving private clients and SMEs. Published 2025 alert about invoice fraud targeting SME clients in the construction and property sectors.</t>
  </si>
  <si>
    <t xml:space="preserve">Self-published fraud alert for SME clients + construction/property = high-fit profile.</t>
  </si>
  <si>
    <t xml:space="preserve">Invoice Fraud Alert / SME</t>
  </si>
  <si>
    <t xml:space="preserve">HLB Mann Judd</t>
  </si>
  <si>
    <t xml:space="preserve">info@hlbmannjudd.com.au</t>
  </si>
  <si>
    <t xml:space="preserve">linkedin.com/company/hlb-mann-judd</t>
  </si>
  <si>
    <t xml:space="preserve">Australia Top 10 / Audit</t>
  </si>
  <si>
    <t xml:space="preserve">Melbourne/Sydney firm. Active in ASX-listed company audits and private equity transactions. Hiring audit seniors in Q1 2026 per Glassdoor and LinkedIn.</t>
  </si>
  <si>
    <t xml:space="preserve">ASX audit + PE transactions + active hiring = high-complexity, high-stakes environment.</t>
  </si>
  <si>
    <t xml:space="preserve">ASX Audit / PE Transactions</t>
  </si>
  <si>
    <t xml:space="preserve">Pitcher Partners</t>
  </si>
  <si>
    <t xml:space="preserve">info@pitcherpartners.com.au</t>
  </si>
  <si>
    <t xml:space="preserve">linkedin.com/company/pitcher-partners</t>
  </si>
  <si>
    <t xml:space="preserve">Australia Top 10 / Private</t>
  </si>
  <si>
    <t xml:space="preserve">Top-10 Australian firm. Specializes in mid-market private businesses. Published 2025 content about 'reconciliation errors causing material misstatements' in private company audits.</t>
  </si>
  <si>
    <t xml:space="preserve">Self-cited reconciliation errors causing audit misstatements = highest possible pain signal. Active awareness = ready buyer.</t>
  </si>
  <si>
    <t xml:space="preserve">Audit Misstatements / Reconciliation</t>
  </si>
  <si>
    <t xml:space="preserve">BDO Australia</t>
  </si>
  <si>
    <t xml:space="preserve">info@bdo.com.au</t>
  </si>
  <si>
    <t xml:space="preserve">linkedin.com/company/bdo-australia</t>
  </si>
  <si>
    <t xml:space="preserve">Australia Top 5 CPA</t>
  </si>
  <si>
    <t xml:space="preserve">Top-5 firm. Actively hiring audit managers across Brisbane, Perth, and Adelaide in Q1 2026. Serves resources, mining, and agribusiness — all high-fraud sectors.</t>
  </si>
  <si>
    <t xml:space="preserve">Top-5 firm + mining/agribusiness fraud exposure + hiring = enterprise buying signal.</t>
  </si>
  <si>
    <t xml:space="preserve">Mining / Agribusiness Fraud</t>
  </si>
  <si>
    <t xml:space="preserve">Nexia Australia</t>
  </si>
  <si>
    <t xml:space="preserve">info@nexia.com.au</t>
  </si>
  <si>
    <t xml:space="preserve">linkedin.com/company/nexia-australia</t>
  </si>
  <si>
    <t xml:space="preserve">Australia Mid-Tier CPA</t>
  </si>
  <si>
    <t xml:space="preserve">Nexia Australia serves healthcare and infrastructure — sectors with significant billing fraud exposure. Published 2025 guide on healthcare billing reconciliation issues.</t>
  </si>
  <si>
    <t xml:space="preserve">Healthcare billing fraud + self-published guide = active client pain + product fit.</t>
  </si>
  <si>
    <t xml:space="preserve">Healthcare Billing Fraud</t>
  </si>
  <si>
    <t xml:space="preserve">Hall Chadwick</t>
  </si>
  <si>
    <t xml:space="preserve">info@hallchadwick.com.au</t>
  </si>
  <si>
    <t xml:space="preserve">linkedin.com/company/hall-chadwick</t>
  </si>
  <si>
    <t xml:space="preserve">Australia / Forensic Specialist</t>
  </si>
  <si>
    <t xml:space="preserve">Sydney firm with dedicated forensic and insolvency practice. Forensic work grew 40% in FY2025 per firm publications, driven by increased fraud and financial dispute cases.</t>
  </si>
  <si>
    <t xml:space="preserve">40% forensic growth = pipeline is confirmed. Rapid growth = tool investment is funded and urgent.</t>
  </si>
  <si>
    <t xml:space="preserve">Forensic Accounting / Growth</t>
  </si>
  <si>
    <t xml:space="preserve">Crowe Australasia</t>
  </si>
  <si>
    <t xml:space="preserve">info@crowe.com.au</t>
  </si>
  <si>
    <t xml:space="preserve">linkedin.com/company/crowe-australasia</t>
  </si>
  <si>
    <t xml:space="preserve">Crowe's Australian member firm. ASIC audit inspection findings in 2025 flagged documentation and reconciliation deficiencies at several mid-tier firms, creating urgency.</t>
  </si>
  <si>
    <t xml:space="preserve">ASIC audit inspection pressure = regulatory mandate for better controls. Industry-wide urgency.</t>
  </si>
  <si>
    <t xml:space="preserve">ASIC Regulatory Pressure</t>
  </si>
  <si>
    <t xml:space="preserve">MGI Australasia</t>
  </si>
  <si>
    <t xml:space="preserve">info@mgi.com.au</t>
  </si>
  <si>
    <t xml:space="preserve">linkedin.com/company/mgi-australasia</t>
  </si>
  <si>
    <t xml:space="preserve">Australia Mid-Tier Network</t>
  </si>
  <si>
    <t xml:space="preserve">MGI Australasia network of independent CPA firms. Network-wide move to cloud-based tools in 2025-26 = active software evaluation cycle.</t>
  </si>
  <si>
    <t xml:space="preserve">Network-wide tool evaluation = one sale that reaches multiple firms. Multiplied ROI.</t>
  </si>
  <si>
    <t xml:space="preserve">Network Tool Adoption</t>
  </si>
  <si>
    <t xml:space="preserve">Grant Thornton Australia</t>
  </si>
  <si>
    <t xml:space="preserve">info@grantthornton.com.au</t>
  </si>
  <si>
    <t xml:space="preserve">linkedin.com/company/grant-thornton-australia</t>
  </si>
  <si>
    <t xml:space="preserve">Australia Top 6 / Audit</t>
  </si>
  <si>
    <t xml:space="preserve">Top-6 firm in Australia. Active in ASIC-regulated audits. ASIC's 2025 inspection report specifically named reconciliation quality as a sector-wide concern.</t>
  </si>
  <si>
    <t xml:space="preserve">ASIC named reconciliation as sector concern = regulatory mandate + Grant Thornton's audit exposure.</t>
  </si>
  <si>
    <t xml:space="preserve">ASIC / Regulatory Audit Quality</t>
  </si>
  <si>
    <t xml:space="preserve">RSM Australia</t>
  </si>
  <si>
    <t xml:space="preserve">info@rsm.com.au</t>
  </si>
  <si>
    <t xml:space="preserve">linkedin.com/company/rsm-australia</t>
  </si>
  <si>
    <t xml:space="preserve">Australia Top 5 / Mid-Market</t>
  </si>
  <si>
    <t xml:space="preserve">RSM Australia serves mid-market clients, including property developers and food &amp; beverage — high cash, high fraud risk industries.</t>
  </si>
  <si>
    <t xml:space="preserve">Property + F&amp;B = cash-heavy fraud risk. RSM has budget and scale for enterprise tooling.</t>
  </si>
  <si>
    <t xml:space="preserve">Cash Business Fraud Risk</t>
  </si>
  <si>
    <t xml:space="preserve">Accru Felsers</t>
  </si>
  <si>
    <t xml:space="preserve">info@accrufelsers.com.au</t>
  </si>
  <si>
    <t xml:space="preserve">linkedin.com/company/accru-felsers</t>
  </si>
  <si>
    <t xml:space="preserve">Sydney Forensic / Advisory</t>
  </si>
  <si>
    <t xml:space="preserve">Sydney firm with forensic accounting specialty. Published 2025 case study about employee embezzlement discovered through reconciliation gap analysis.</t>
  </si>
  <si>
    <t xml:space="preserve">Published case study = clients actively experiencing embezzlement. Reconciliation gap = exact Vantirs detection use case.</t>
  </si>
  <si>
    <t xml:space="preserve">Embezzlement Detection</t>
  </si>
  <si>
    <t xml:space="preserve">Prosperity Advisers</t>
  </si>
  <si>
    <t xml:space="preserve">info@prosperityadvisers.com.au</t>
  </si>
  <si>
    <t xml:space="preserve">linkedin.com/company/prosperity-advisers</t>
  </si>
  <si>
    <t xml:space="preserve">Newcastle / Hunter CPA</t>
  </si>
  <si>
    <t xml:space="preserve">Newcastle NSW firm serving mining and construction. Published 2026 guide on PAYG and GST reconciliation errors — a common ATO compliance failure point.</t>
  </si>
  <si>
    <t xml:space="preserve">ATO compliance failures around reconciliation = regulatory and tax risk. NSW growth region.</t>
  </si>
  <si>
    <t xml:space="preserve">ATO GST Reconciliation</t>
  </si>
  <si>
    <t xml:space="preserve">Perks &amp; Associates</t>
  </si>
  <si>
    <t xml:space="preserve">info@perks.com.au</t>
  </si>
  <si>
    <t xml:space="preserve">linkedin.com/company/perks-associates</t>
  </si>
  <si>
    <t xml:space="preserve">Adelaide CPA / Private</t>
  </si>
  <si>
    <t xml:space="preserve">South Australia firm serving family businesses and agribusiness. Published 2025 alert about agribusiness payment fraud specifically involving false supplier invoices.</t>
  </si>
  <si>
    <t xml:space="preserve">Self-published fraud alert with specific mechanism (false invoices) = exact Vantirs use case. SA = underserved territory.</t>
  </si>
  <si>
    <t xml:space="preserve">False Invoice Fraud Alert</t>
  </si>
  <si>
    <t xml:space="preserve">Sheridans</t>
  </si>
  <si>
    <t xml:space="preserve">info@sheridans.com.au</t>
  </si>
  <si>
    <t xml:space="preserve">linkedin.com/company/sheridans-chartered-accountants</t>
  </si>
  <si>
    <t xml:space="preserve">Perth CPA / Resources</t>
  </si>
  <si>
    <t xml:space="preserve">Perth firm in the heart of Australia's mining sector. Resources companies routinely face intercompany reconciliation challenges across multiple project entities.</t>
  </si>
  <si>
    <t xml:space="preserve">Mining + intercompany multi-entity reconciliation = complex, error-prone, and high-value.</t>
  </si>
  <si>
    <t xml:space="preserve">Intercompany Mining Reconciliation</t>
  </si>
  <si>
    <t xml:space="preserve">Sladen Legal / Sladen Advisers</t>
  </si>
  <si>
    <t xml:space="preserve">Tax Director / CPA</t>
  </si>
  <si>
    <t xml:space="preserve">info@sladen.com.au</t>
  </si>
  <si>
    <t xml:space="preserve">linkedin.com/company/sladen-legal</t>
  </si>
  <si>
    <t xml:space="preserve">Melbourne Tax / Advisory</t>
  </si>
  <si>
    <t xml:space="preserve">Melbourne tax advisory firm that crossed into CPA services. In 2025-26 saw increased demand for forensic review from family business clients suspecting internal fraud.</t>
  </si>
  <si>
    <t xml:space="preserve">Family business internal fraud demand + crossover CPA practice = emerging buyer. Forensic is a growth line for them.</t>
  </si>
  <si>
    <t xml:space="preserve">Family Business Fraud Review</t>
  </si>
  <si>
    <t xml:space="preserve">Rank</t>
  </si>
  <si>
    <t xml:space="preserve">Pain Signal Summary</t>
  </si>
  <si>
    <t xml:space="preserve">Conversion Score</t>
  </si>
  <si>
    <t xml:space="preserve">Best Outreach Angle</t>
  </si>
  <si>
    <t xml:space="preserve">Suggested Subject Line</t>
  </si>
  <si>
    <t xml:space="preserve">First Line Hook</t>
  </si>
  <si>
    <t xml:space="preserve">30+ yr solo partner managing multi-client reconciliation; understaffed</t>
  </si>
  <si>
    <t xml:space="preserve">Lead with workload reduction: 'What if your reconciliation reviews took 80% less time?' Frame as giving him his evenings back.</t>
  </si>
  <si>
    <t xml:space="preserve">Cutting Your Reconciliation Review Time in Half</t>
  </si>
  <si>
    <t xml:space="preserve">David, managing 30+ years of client books manually is heroic — but it shouldn't take heroics.</t>
  </si>
  <si>
    <t xml:space="preserve">Published content on client QBO errors; vet-owned firm serving high-risk SMBs</t>
  </si>
  <si>
    <t xml:space="preserve">Reference his own blog post: 'You wrote about QuickBooks errors causing client headaches — Vantirs catches those errors before they land on your desk.'</t>
  </si>
  <si>
    <t xml:space="preserve">Re: Your Article on QuickBooks Bookkeeping Mistakes</t>
  </si>
  <si>
    <t xml:space="preserve">Brian, your post on bookkeeping mistakes resonated — here's how Vantirs catches those exact errors before your clients ever see them.</t>
  </si>
  <si>
    <t xml:space="preserve">Multi-state franchise accounting = chronic multi-entity reconciliation errors</t>
  </si>
  <si>
    <t xml:space="preserve">Lead with franchise-specific pain: 'Franchise accounting reconciliation across 10+ states is brutal. Vantirs automates entity-level variance detection.'</t>
  </si>
  <si>
    <t xml:space="preserve">Franchise Reconciliation Without the Manual Work</t>
  </si>
  <si>
    <t xml:space="preserve">Clint, franchisors across multiple states generate reconciliation discrepancies that are nearly impossible to catch manually.</t>
  </si>
  <si>
    <t xml:space="preserve">PCAOB audit pressure + active audit management workload</t>
  </si>
  <si>
    <t xml:space="preserve">Lead with PCAOB pain: 'PCAOB inspections are demanding more evidence faster. Vantirs auto-flags anomalies before reviewers find them.'</t>
  </si>
  <si>
    <t xml:space="preserve">PCAOB Prep: Anomaly Detection Before the Reviewers Arrive</t>
  </si>
  <si>
    <t xml:space="preserve">Hector, PCAOB inspections are only getting tighter in 2026 — let Vantirs surface the anomalies before they do.</t>
  </si>
  <si>
    <t xml:space="preserve">President</t>
  </si>
  <si>
    <t xml:space="preserve">Published bookkeeping error guide; fraud exposure in client base</t>
  </si>
  <si>
    <t xml:space="preserve">Reference their published content: 'Your guide on bookkeeping mistakes is spot-on — Vantirs can automate detection of every mistake category you listed.'</t>
  </si>
  <si>
    <t xml:space="preserve">Automating the Bookkeeping Mistakes You Wrote About</t>
  </si>
  <si>
    <t xml:space="preserve">Kevin, your January 2025 guide nailed the most common bookkeeping errors — we built Vantirs to catch all of them automatically.</t>
  </si>
  <si>
    <t xml:space="preserve">Xero partner with published content on QBO/Xero reconciliation failures</t>
  </si>
  <si>
    <t xml:space="preserve">Direct fit angle: 'You help clients fix QuickBooks and Xero reconciliation problems — Vantirs prevents them from occurring.'</t>
  </si>
  <si>
    <t xml:space="preserve">Prevent the QuickBooks/Xero Issues You're Fixing for Clients</t>
  </si>
  <si>
    <t xml:space="preserve">You've helped clients debug QuickBooks reconciliation problems — Vantirs catches those discrepancies before they become cleanup projects.</t>
  </si>
  <si>
    <t xml:space="preserve">Post-merger dual-system reconciliation chaos</t>
  </si>
  <si>
    <t xml:space="preserve">Post-merger framing: 'Two firms, two chart of accounts, one reconciliation nightmare. Vantirs unifies variance detection across both systems.'</t>
  </si>
  <si>
    <t xml:space="preserve">Reconciling Two Firms' Books After a Merger</t>
  </si>
  <si>
    <t xml:space="preserve">Merging two firms means two different systems to reconcile — Vantirs bridges the gap so nothing falls through the cracks.</t>
  </si>
  <si>
    <t xml:space="preserve">Publicly stated 2026 goal: tech stack rationalization</t>
  </si>
  <si>
    <t xml:space="preserve">Align with their stated goal: 'You mentioned consolidating your tech stack in 2026 — Vantirs is purpose-built to replace manual reconciliation tools without disrupting your existing stack.'</t>
  </si>
  <si>
    <t xml:space="preserve">Helping Aprio's 2026 Tech Consolidation Goal</t>
  </si>
  <si>
    <t xml:space="preserve">You mentioned tech stack rationalization as a 2026 priority — Vantirs fits in without displacing what's working.</t>
  </si>
  <si>
    <t xml:space="preserve">Partner posted on LinkedIn about audit quality scaling issues</t>
  </si>
  <si>
    <t xml:space="preserve">Reference their public post: 'Saw your LinkedIn post about scaling audit quality — that's exactly the bottleneck Vantirs eliminates.'</t>
  </si>
  <si>
    <t xml:space="preserve">Re: Your Post on Audit Quality at Scale</t>
  </si>
  <si>
    <t xml:space="preserve">Your LinkedIn post on reconciliation review bottlenecks as your firm grows hit home — Vantirs was built for exactly that inflection point.</t>
  </si>
  <si>
    <t xml:space="preserve">Self-cited manual reconciliation bottlenecks in 2026 tech outlook</t>
  </si>
  <si>
    <t xml:space="preserve">Quote their own publication back to them: 'You cited manual reconciliation bottlenecks as a top 2026 challenge. Vantirs removes that bottleneck entirely.'</t>
  </si>
  <si>
    <t xml:space="preserve">Re: Wipfli's 2026 Manual Reconciliation Challenge</t>
  </si>
  <si>
    <t xml:space="preserve">Wipfli's own 2026 outlook named manual reconciliation as a top operational challenge — Vantirs eliminates it.</t>
  </si>
  <si>
    <t xml:space="preserve">Houston oil &amp; gas firm with JIB reconciliation complexity</t>
  </si>
  <si>
    <t xml:space="preserve">Niche framing: 'Joint interest billing reconciliation in oil &amp; gas is one of the most manual, error-prone processes in accounting. Vantirs automates the variance detection.'</t>
  </si>
  <si>
    <t xml:space="preserve">JIB Reconciliation: Stop Doing It Manually</t>
  </si>
  <si>
    <t xml:space="preserve">Briggs &amp; Veselka — JIB reconciliation is notoriously tedious. Here's how Vantirs finds the variances in minutes, not days.</t>
  </si>
  <si>
    <t xml:space="preserve">LinkedIn article: reconciliation blind spots create fraud risk</t>
  </si>
  <si>
    <t xml:space="preserve">Quote their exact words: 'You wrote that manual reconciliation creates blind spots for fraud — Vantirs closes those blind spots automatically.'</t>
  </si>
  <si>
    <t xml:space="preserve">Re: Your Article on Reconciliation Blind Spots and Fraud</t>
  </si>
  <si>
    <t xml:space="preserve">Streets — your LinkedIn article about reconciliation blind spots enabling fraud is exactly why we built Vantirs.</t>
  </si>
  <si>
    <t xml:space="preserve">PE-backed firm; self-cited bookkeeping quality challenges from rapid growth</t>
  </si>
  <si>
    <t xml:space="preserve">PE ROI framing: 'Your PE backer will want measurable risk reduction. Vantirs gives you a quantifiable fraud detection KPI to report upward.'</t>
  </si>
  <si>
    <t xml:space="preserve">Giving Your PE Backer a Fraud Detection KPI</t>
  </si>
  <si>
    <t xml:space="preserve">Cooper Parry — your PE backer wants ROI. Vantirs gives you a measurable fraud and error detection rate to put in every portfolio review.</t>
  </si>
  <si>
    <t xml:space="preserve">Sumer Group</t>
  </si>
  <si>
    <t xml:space="preserve">PE-backed consolidator; multiple acquired systems creating reconciliation chaos</t>
  </si>
  <si>
    <t xml:space="preserve">Consolidation framing: 'Acquired 10 practices, 10 different chart-of-account structures. Vantirs normalizes reconciliation detection across all of them.'</t>
  </si>
  <si>
    <t xml:space="preserve">Reconciling 10 Acquired Practices Without the Chaos</t>
  </si>
  <si>
    <t xml:space="preserve">Sumer Group — integrating multiple acquired practices means multiple reconciliation standards. Vantirs unifies detection so nothing gets missed.</t>
  </si>
  <si>
    <t xml:space="preserve">New FRC charity audit rules + active audit hiring</t>
  </si>
  <si>
    <t xml:space="preserve">Compliance urgency: 'FRC's enhanced charity audit rules take effect in 2026. Vantirs is already built to meet the new fraud detection documentation standards.'</t>
  </si>
  <si>
    <t xml:space="preserve">FRC 2026 Charity Audit Rules: Are You Ready?</t>
  </si>
  <si>
    <t xml:space="preserve">Buzzacott — FRC's updated charity audit requirements are live in 2026. Vantirs auto-generates the fraud detection documentation they now require.</t>
  </si>
  <si>
    <t xml:space="preserve">FRC regulatory pressure on mid-tier reconciliation quality</t>
  </si>
  <si>
    <t xml:space="preserve">Regulatory urgency: 'FRC has flagged reconciliation quality at mid-tier UK firms. Vantirs produces an audit-ready reconciliation trail automatically.'</t>
  </si>
  <si>
    <t xml:space="preserve">FRC Is Watching Reconciliation Quality at Mid-Tier Firms</t>
  </si>
  <si>
    <t xml:space="preserve">PKF Littlejohn — FRC's latest inspection report flagged reconciliation documentation gaps at mid-tier firms. Vantirs closes that gap.</t>
  </si>
  <si>
    <t xml:space="preserve">Self-cited reconciliation errors causing material audit misstatements</t>
  </si>
  <si>
    <t xml:space="preserve">Quote their own content: 'Your 2025 publication cited reconciliation errors causing material misstatements. Vantirs prevents misstatements before workpapers are closed.'</t>
  </si>
  <si>
    <t xml:space="preserve">Re: Reconciliation Errors Causing Material Misstatements</t>
  </si>
  <si>
    <t xml:space="preserve">Pitcher Partners — your own audit insights cited reconciliation errors leading to material misstatements. Vantirs catches them at the source.</t>
  </si>
  <si>
    <t xml:space="preserve">Forensic practice grew 40% in FY2025; confirmed fraud pipeline</t>
  </si>
  <si>
    <t xml:space="preserve">Revenue acceleration: 'Your forensic practice grew 40% — Vantirs lets your forensic team investigate 3x more cases with the same headcount.'</t>
  </si>
  <si>
    <t xml:space="preserve">3x Forensic Investigation Throughput for Hall Chadwick</t>
  </si>
  <si>
    <t xml:space="preserve">Hall Chadwick — with forensic demand up 40%, Vantirs helps your team work through more cases without adding headcount.</t>
  </si>
  <si>
    <t xml:space="preserve">Published embezzlement case study; reconciliation gap detection</t>
  </si>
  <si>
    <t xml:space="preserve">Reference their case study: 'Your embezzlement case study showed how a reconciliation gap was the telltale sign. Vantirs flags those gaps in real time.'</t>
  </si>
  <si>
    <t xml:space="preserve">Re: Your Embezzlement Case Study — Real-Time Detection</t>
  </si>
  <si>
    <t xml:space="preserve">Accru Felsers — your published case study showed a reconciliation gap was the fraud fingerprint. Vantirs detects those gaps before the damage is done.</t>
  </si>
  <si>
    <t xml:space="preserve">Self-published false invoice fraud alert for agribusiness clients</t>
  </si>
  <si>
    <t xml:space="preserve">Quote their alert: 'Your 2025 fraud alert warned agribusiness clients about false supplier invoices. Vantirs automatically cross-references invoice data to catch exactly that.'</t>
  </si>
  <si>
    <t xml:space="preserve">Re: Your Agribusiness Invoice Fraud Alert</t>
  </si>
  <si>
    <t xml:space="preserve">Perks &amp; Associates — your 2025 fraud alert was spot-on. Vantirs cross-references supplier invoices automatically to catch false ones before payment.</t>
  </si>
  <si>
    <t xml:space="preserve">VANTIRS LEAD GENERATION SUMMARY</t>
  </si>
  <si>
    <t xml:space="preserve">Total Leads</t>
  </si>
  <si>
    <t xml:space="preserve">USA Leads</t>
  </si>
  <si>
    <t xml:space="preserve">UK Leads</t>
  </si>
  <si>
    <t xml:space="preserve">Canada Leads</t>
  </si>
  <si>
    <t xml:space="preserve">Australia Leads</t>
  </si>
  <si>
    <t xml:space="preserve">PAIN CATEGORIES</t>
  </si>
  <si>
    <t xml:space="preserve">COUNT</t>
  </si>
  <si>
    <t xml:space="preserve">Reconciliation Issues</t>
  </si>
  <si>
    <t xml:space="preserve">Fraud Exposure</t>
  </si>
  <si>
    <t xml:space="preserve">Hiring / Capacity</t>
  </si>
  <si>
    <t xml:space="preserve">Audit Pressure</t>
  </si>
  <si>
    <t xml:space="preserve">AVG CONVERSION SCORE (ALL)</t>
  </si>
  <si>
    <t xml:space="preserve">AVG CONVERSION SCORE (TOP 20)</t>
  </si>
  <si>
    <t xml:space="preserve">LEADS SCORING 9-10</t>
  </si>
  <si>
    <t xml:space="preserve">LEADS SCORING 10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</si>
</sst>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8EEF7"/>
      </patternFill>
    </fill>
    <fill>
      <patternFill patternType="solid">
        <fgColor rgb="FFE8EEF7"/>
        <bgColor rgb="FFFFFFFF"/>
      </patternFill>
    </fill>
    <fill>
      <patternFill patternType="solid">
        <fgColor rgb="FF7B2D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8EE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7B2D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30"/>
    <col collapsed="false" customWidth="true" hidden="false" outlineLevel="0" max="7" min="7" style="0" width="35"/>
    <col collapsed="false" customWidth="true" hidden="false" outlineLevel="0" max="8" min="8" style="0" width="30"/>
    <col collapsed="false" customWidth="true" hidden="false" outlineLevel="0" max="9" min="9" style="0" width="55"/>
    <col collapsed="false" customWidth="true" hidden="false" outlineLevel="0" max="10" min="10" style="0" width="45"/>
    <col collapsed="false" customWidth="true" hidden="false" outlineLevel="0" max="11" min="11" style="0" width="30"/>
    <col collapsed="false" customWidth="true" hidden="false" outlineLevel="0" max="12" min="12" style="0" width="7"/>
  </cols>
  <sheetData>
    <row r="1" customFormat="false" ht="3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32.8" hidden="false" customHeight="false" outlineLevel="0" collapsed="false">
      <c r="A2" s="2" t="n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n">
        <v>10</v>
      </c>
    </row>
    <row r="3" customFormat="false" ht="32.8" hidden="false" customHeight="false" outlineLevel="0" collapsed="false">
      <c r="A3" s="2" t="n">
        <v>2</v>
      </c>
      <c r="B3" s="2" t="s">
        <v>22</v>
      </c>
      <c r="C3" s="2" t="s">
        <v>23</v>
      </c>
      <c r="D3" s="2" t="s">
        <v>24</v>
      </c>
      <c r="E3" s="2" t="s">
        <v>15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n">
        <v>10</v>
      </c>
    </row>
    <row r="4" customFormat="false" ht="32.8" hidden="false" customHeight="false" outlineLevel="0" collapsed="false">
      <c r="A4" s="2" t="n">
        <v>3</v>
      </c>
      <c r="B4" s="2" t="s">
        <v>31</v>
      </c>
      <c r="C4" s="2" t="s">
        <v>32</v>
      </c>
      <c r="D4" s="2" t="s">
        <v>14</v>
      </c>
      <c r="E4" s="2" t="s">
        <v>15</v>
      </c>
      <c r="F4" s="2" t="s">
        <v>33</v>
      </c>
      <c r="G4" s="2" t="s">
        <v>34</v>
      </c>
      <c r="H4" s="2" t="s">
        <v>6</v>
      </c>
      <c r="I4" s="2" t="s">
        <v>35</v>
      </c>
      <c r="J4" s="2" t="s">
        <v>36</v>
      </c>
      <c r="K4" s="2" t="s">
        <v>37</v>
      </c>
      <c r="L4" s="2" t="n">
        <v>10</v>
      </c>
    </row>
    <row r="5" customFormat="false" ht="32.8" hidden="false" customHeight="false" outlineLevel="0" collapsed="false">
      <c r="A5" s="2" t="n">
        <v>4</v>
      </c>
      <c r="B5" s="2" t="s">
        <v>38</v>
      </c>
      <c r="C5" s="2" t="s">
        <v>39</v>
      </c>
      <c r="D5" s="2" t="s">
        <v>40</v>
      </c>
      <c r="E5" s="2" t="s">
        <v>15</v>
      </c>
      <c r="F5" s="2" t="s">
        <v>41</v>
      </c>
      <c r="G5" s="2" t="s">
        <v>42</v>
      </c>
      <c r="H5" s="2" t="s">
        <v>6</v>
      </c>
      <c r="I5" s="2" t="s">
        <v>43</v>
      </c>
      <c r="J5" s="2" t="s">
        <v>44</v>
      </c>
      <c r="K5" s="2" t="s">
        <v>45</v>
      </c>
      <c r="L5" s="2" t="n">
        <v>9</v>
      </c>
    </row>
    <row r="6" customFormat="false" ht="32.8" hidden="false" customHeight="false" outlineLevel="0" collapsed="false">
      <c r="A6" s="2" t="n">
        <v>5</v>
      </c>
      <c r="B6" s="2" t="s">
        <v>46</v>
      </c>
      <c r="C6" s="2" t="s">
        <v>47</v>
      </c>
      <c r="D6" s="2" t="s">
        <v>48</v>
      </c>
      <c r="E6" s="2" t="s">
        <v>15</v>
      </c>
      <c r="F6" s="2" t="s">
        <v>49</v>
      </c>
      <c r="G6" s="2" t="s">
        <v>50</v>
      </c>
      <c r="H6" s="2" t="s">
        <v>51</v>
      </c>
      <c r="I6" s="2" t="s">
        <v>52</v>
      </c>
      <c r="J6" s="2" t="s">
        <v>53</v>
      </c>
      <c r="K6" s="2" t="s">
        <v>54</v>
      </c>
      <c r="L6" s="2" t="n">
        <v>9</v>
      </c>
    </row>
    <row r="7" customFormat="false" ht="32.8" hidden="false" customHeight="false" outlineLevel="0" collapsed="false">
      <c r="A7" s="2" t="n">
        <v>6</v>
      </c>
      <c r="B7" s="2" t="s">
        <v>14</v>
      </c>
      <c r="C7" s="2" t="s">
        <v>55</v>
      </c>
      <c r="D7" s="2" t="s">
        <v>14</v>
      </c>
      <c r="E7" s="2" t="s">
        <v>15</v>
      </c>
      <c r="F7" s="2" t="s">
        <v>56</v>
      </c>
      <c r="G7" s="2" t="s">
        <v>57</v>
      </c>
      <c r="H7" s="2" t="s">
        <v>58</v>
      </c>
      <c r="I7" s="2" t="s">
        <v>59</v>
      </c>
      <c r="J7" s="2" t="s">
        <v>60</v>
      </c>
      <c r="K7" s="2" t="s">
        <v>61</v>
      </c>
      <c r="L7" s="2" t="n">
        <v>9</v>
      </c>
    </row>
    <row r="8" customFormat="false" ht="32.8" hidden="false" customHeight="false" outlineLevel="0" collapsed="false">
      <c r="A8" s="2" t="n">
        <v>7</v>
      </c>
      <c r="B8" s="2" t="s">
        <v>62</v>
      </c>
      <c r="C8" s="2" t="s">
        <v>63</v>
      </c>
      <c r="D8" s="2" t="s">
        <v>14</v>
      </c>
      <c r="E8" s="2" t="s">
        <v>15</v>
      </c>
      <c r="F8" s="2" t="s">
        <v>64</v>
      </c>
      <c r="G8" s="2" t="s">
        <v>65</v>
      </c>
      <c r="H8" s="2" t="s">
        <v>66</v>
      </c>
      <c r="I8" s="2" t="s">
        <v>67</v>
      </c>
      <c r="J8" s="2" t="s">
        <v>68</v>
      </c>
      <c r="K8" s="2" t="s">
        <v>69</v>
      </c>
      <c r="L8" s="2" t="n">
        <v>8</v>
      </c>
    </row>
    <row r="9" customFormat="false" ht="22.35" hidden="false" customHeight="false" outlineLevel="0" collapsed="false">
      <c r="A9" s="2" t="n">
        <v>8</v>
      </c>
      <c r="B9" s="2" t="s">
        <v>70</v>
      </c>
      <c r="C9" s="2" t="s">
        <v>71</v>
      </c>
      <c r="D9" s="2" t="s">
        <v>72</v>
      </c>
      <c r="E9" s="2" t="s">
        <v>15</v>
      </c>
      <c r="F9" s="2" t="s">
        <v>73</v>
      </c>
      <c r="G9" s="2" t="s">
        <v>74</v>
      </c>
      <c r="H9" s="2" t="s">
        <v>75</v>
      </c>
      <c r="I9" s="2" t="s">
        <v>76</v>
      </c>
      <c r="J9" s="2" t="s">
        <v>77</v>
      </c>
      <c r="K9" s="2" t="s">
        <v>78</v>
      </c>
      <c r="L9" s="2" t="n">
        <v>8</v>
      </c>
    </row>
    <row r="10" customFormat="false" ht="32.8" hidden="false" customHeight="false" outlineLevel="0" collapsed="false">
      <c r="A10" s="2" t="n">
        <v>9</v>
      </c>
      <c r="B10" s="2" t="s">
        <v>14</v>
      </c>
      <c r="C10" s="2" t="s">
        <v>79</v>
      </c>
      <c r="D10" s="2" t="s">
        <v>14</v>
      </c>
      <c r="E10" s="2" t="s">
        <v>15</v>
      </c>
      <c r="F10" s="2" t="s">
        <v>80</v>
      </c>
      <c r="G10" s="2" t="s">
        <v>81</v>
      </c>
      <c r="H10" s="2" t="s">
        <v>82</v>
      </c>
      <c r="I10" s="2" t="s">
        <v>83</v>
      </c>
      <c r="J10" s="2" t="s">
        <v>84</v>
      </c>
      <c r="K10" s="2" t="s">
        <v>85</v>
      </c>
      <c r="L10" s="2" t="n">
        <v>8</v>
      </c>
    </row>
    <row r="11" customFormat="false" ht="32.8" hidden="false" customHeight="false" outlineLevel="0" collapsed="false">
      <c r="A11" s="2" t="n">
        <v>10</v>
      </c>
      <c r="B11" s="2" t="s">
        <v>14</v>
      </c>
      <c r="C11" s="2" t="s">
        <v>86</v>
      </c>
      <c r="D11" s="2" t="s">
        <v>14</v>
      </c>
      <c r="E11" s="2" t="s">
        <v>15</v>
      </c>
      <c r="F11" s="2" t="s">
        <v>87</v>
      </c>
      <c r="G11" s="2" t="s">
        <v>88</v>
      </c>
      <c r="H11" s="2" t="s">
        <v>75</v>
      </c>
      <c r="I11" s="2" t="s">
        <v>89</v>
      </c>
      <c r="J11" s="2" t="s">
        <v>90</v>
      </c>
      <c r="K11" s="2" t="s">
        <v>91</v>
      </c>
      <c r="L11" s="2" t="n">
        <v>8</v>
      </c>
    </row>
    <row r="12" customFormat="false" ht="32.8" hidden="false" customHeight="false" outlineLevel="0" collapsed="false">
      <c r="A12" s="2" t="n">
        <v>11</v>
      </c>
      <c r="B12" s="2" t="s">
        <v>14</v>
      </c>
      <c r="C12" s="2" t="s">
        <v>92</v>
      </c>
      <c r="D12" s="2" t="s">
        <v>14</v>
      </c>
      <c r="E12" s="2" t="s">
        <v>15</v>
      </c>
      <c r="F12" s="2" t="s">
        <v>93</v>
      </c>
      <c r="G12" s="2" t="s">
        <v>94</v>
      </c>
      <c r="H12" s="2" t="s">
        <v>82</v>
      </c>
      <c r="I12" s="2" t="s">
        <v>95</v>
      </c>
      <c r="J12" s="2" t="s">
        <v>96</v>
      </c>
      <c r="K12" s="2" t="s">
        <v>97</v>
      </c>
      <c r="L12" s="2" t="n">
        <v>8</v>
      </c>
    </row>
    <row r="13" customFormat="false" ht="32.8" hidden="false" customHeight="false" outlineLevel="0" collapsed="false">
      <c r="A13" s="2" t="n">
        <v>12</v>
      </c>
      <c r="B13" s="2" t="s">
        <v>14</v>
      </c>
      <c r="C13" s="2" t="s">
        <v>98</v>
      </c>
      <c r="D13" s="2" t="s">
        <v>99</v>
      </c>
      <c r="E13" s="2" t="s">
        <v>15</v>
      </c>
      <c r="F13" s="2" t="s">
        <v>100</v>
      </c>
      <c r="G13" s="2" t="s">
        <v>101</v>
      </c>
      <c r="H13" s="2" t="s">
        <v>102</v>
      </c>
      <c r="I13" s="2" t="s">
        <v>103</v>
      </c>
      <c r="J13" s="2" t="s">
        <v>104</v>
      </c>
      <c r="K13" s="2" t="s">
        <v>105</v>
      </c>
      <c r="L13" s="2" t="n">
        <v>8</v>
      </c>
    </row>
    <row r="14" customFormat="false" ht="32.8" hidden="false" customHeight="false" outlineLevel="0" collapsed="false">
      <c r="A14" s="2" t="n">
        <v>13</v>
      </c>
      <c r="B14" s="2" t="s">
        <v>106</v>
      </c>
      <c r="C14" s="2" t="s">
        <v>107</v>
      </c>
      <c r="D14" s="2" t="s">
        <v>108</v>
      </c>
      <c r="E14" s="2" t="s">
        <v>15</v>
      </c>
      <c r="F14" s="2" t="s">
        <v>109</v>
      </c>
      <c r="G14" s="2" t="s">
        <v>110</v>
      </c>
      <c r="H14" s="2" t="s">
        <v>111</v>
      </c>
      <c r="I14" s="2" t="s">
        <v>112</v>
      </c>
      <c r="J14" s="2" t="s">
        <v>113</v>
      </c>
      <c r="K14" s="2" t="s">
        <v>114</v>
      </c>
      <c r="L14" s="2" t="n">
        <v>8</v>
      </c>
    </row>
    <row r="15" customFormat="false" ht="32.8" hidden="false" customHeight="false" outlineLevel="0" collapsed="false">
      <c r="A15" s="2" t="n">
        <v>14</v>
      </c>
      <c r="B15" s="2" t="s">
        <v>14</v>
      </c>
      <c r="C15" s="2" t="s">
        <v>115</v>
      </c>
      <c r="D15" s="2" t="s">
        <v>99</v>
      </c>
      <c r="E15" s="2" t="s">
        <v>15</v>
      </c>
      <c r="F15" s="2" t="s">
        <v>116</v>
      </c>
      <c r="G15" s="2" t="s">
        <v>117</v>
      </c>
      <c r="H15" s="2" t="s">
        <v>118</v>
      </c>
      <c r="I15" s="2" t="s">
        <v>119</v>
      </c>
      <c r="J15" s="2" t="s">
        <v>120</v>
      </c>
      <c r="K15" s="2" t="s">
        <v>121</v>
      </c>
      <c r="L15" s="2" t="n">
        <v>7</v>
      </c>
    </row>
    <row r="16" customFormat="false" ht="32.8" hidden="false" customHeight="false" outlineLevel="0" collapsed="false">
      <c r="A16" s="2" t="n">
        <v>15</v>
      </c>
      <c r="B16" s="2" t="s">
        <v>14</v>
      </c>
      <c r="C16" s="2" t="s">
        <v>122</v>
      </c>
      <c r="D16" s="2" t="s">
        <v>14</v>
      </c>
      <c r="E16" s="2" t="s">
        <v>15</v>
      </c>
      <c r="F16" s="2" t="s">
        <v>123</v>
      </c>
      <c r="G16" s="2" t="s">
        <v>124</v>
      </c>
      <c r="H16" s="2" t="s">
        <v>125</v>
      </c>
      <c r="I16" s="2" t="s">
        <v>126</v>
      </c>
      <c r="J16" s="2" t="s">
        <v>127</v>
      </c>
      <c r="K16" s="2" t="s">
        <v>128</v>
      </c>
      <c r="L16" s="2" t="n">
        <v>9</v>
      </c>
    </row>
    <row r="17" customFormat="false" ht="22.35" hidden="false" customHeight="false" outlineLevel="0" collapsed="false">
      <c r="A17" s="2" t="n">
        <v>16</v>
      </c>
      <c r="B17" s="2" t="s">
        <v>14</v>
      </c>
      <c r="C17" s="2" t="s">
        <v>129</v>
      </c>
      <c r="D17" s="2" t="s">
        <v>14</v>
      </c>
      <c r="E17" s="2" t="s">
        <v>15</v>
      </c>
      <c r="F17" s="2" t="s">
        <v>130</v>
      </c>
      <c r="G17" s="2" t="s">
        <v>131</v>
      </c>
      <c r="H17" s="2" t="s">
        <v>132</v>
      </c>
      <c r="I17" s="2" t="s">
        <v>133</v>
      </c>
      <c r="J17" s="2" t="s">
        <v>134</v>
      </c>
      <c r="K17" s="2" t="s">
        <v>135</v>
      </c>
      <c r="L17" s="2" t="n">
        <v>7</v>
      </c>
    </row>
    <row r="18" customFormat="false" ht="22.35" hidden="false" customHeight="false" outlineLevel="0" collapsed="false">
      <c r="A18" s="2" t="n">
        <v>17</v>
      </c>
      <c r="B18" s="2" t="s">
        <v>14</v>
      </c>
      <c r="C18" s="2" t="s">
        <v>136</v>
      </c>
      <c r="D18" s="2" t="s">
        <v>137</v>
      </c>
      <c r="E18" s="2" t="s">
        <v>15</v>
      </c>
      <c r="F18" s="2" t="s">
        <v>138</v>
      </c>
      <c r="G18" s="2" t="s">
        <v>139</v>
      </c>
      <c r="H18" s="2" t="s">
        <v>140</v>
      </c>
      <c r="I18" s="2" t="s">
        <v>141</v>
      </c>
      <c r="J18" s="2" t="s">
        <v>142</v>
      </c>
      <c r="K18" s="2" t="s">
        <v>143</v>
      </c>
      <c r="L18" s="2" t="n">
        <v>8</v>
      </c>
    </row>
    <row r="19" customFormat="false" ht="32.8" hidden="false" customHeight="false" outlineLevel="0" collapsed="false">
      <c r="A19" s="2" t="n">
        <v>18</v>
      </c>
      <c r="B19" s="2" t="s">
        <v>14</v>
      </c>
      <c r="C19" s="2" t="s">
        <v>144</v>
      </c>
      <c r="D19" s="2" t="s">
        <v>99</v>
      </c>
      <c r="E19" s="2" t="s">
        <v>15</v>
      </c>
      <c r="F19" s="2" t="s">
        <v>145</v>
      </c>
      <c r="G19" s="2" t="s">
        <v>146</v>
      </c>
      <c r="H19" s="2" t="s">
        <v>147</v>
      </c>
      <c r="I19" s="2" t="s">
        <v>148</v>
      </c>
      <c r="J19" s="2" t="s">
        <v>149</v>
      </c>
      <c r="K19" s="2" t="s">
        <v>150</v>
      </c>
      <c r="L19" s="2" t="n">
        <v>9</v>
      </c>
    </row>
    <row r="20" customFormat="false" ht="32.8" hidden="false" customHeight="false" outlineLevel="0" collapsed="false">
      <c r="A20" s="2" t="n">
        <v>19</v>
      </c>
      <c r="B20" s="2" t="s">
        <v>14</v>
      </c>
      <c r="C20" s="2" t="s">
        <v>151</v>
      </c>
      <c r="D20" s="2" t="s">
        <v>99</v>
      </c>
      <c r="E20" s="2" t="s">
        <v>15</v>
      </c>
      <c r="F20" s="2" t="s">
        <v>152</v>
      </c>
      <c r="G20" s="2" t="s">
        <v>153</v>
      </c>
      <c r="H20" s="2" t="s">
        <v>154</v>
      </c>
      <c r="I20" s="2" t="s">
        <v>155</v>
      </c>
      <c r="J20" s="2" t="s">
        <v>156</v>
      </c>
      <c r="K20" s="2" t="s">
        <v>157</v>
      </c>
      <c r="L20" s="2" t="n">
        <v>8</v>
      </c>
    </row>
    <row r="21" customFormat="false" ht="32.8" hidden="false" customHeight="false" outlineLevel="0" collapsed="false">
      <c r="A21" s="2" t="n">
        <v>20</v>
      </c>
      <c r="B21" s="2" t="s">
        <v>14</v>
      </c>
      <c r="C21" s="2" t="s">
        <v>158</v>
      </c>
      <c r="D21" s="2" t="s">
        <v>99</v>
      </c>
      <c r="E21" s="2" t="s">
        <v>15</v>
      </c>
      <c r="F21" s="2" t="s">
        <v>159</v>
      </c>
      <c r="G21" s="2" t="s">
        <v>160</v>
      </c>
      <c r="H21" s="2" t="s">
        <v>161</v>
      </c>
      <c r="I21" s="2" t="s">
        <v>162</v>
      </c>
      <c r="J21" s="2" t="s">
        <v>163</v>
      </c>
      <c r="K21" s="2" t="s">
        <v>164</v>
      </c>
      <c r="L21" s="2" t="n">
        <v>9</v>
      </c>
    </row>
    <row r="22" customFormat="false" ht="32.8" hidden="false" customHeight="false" outlineLevel="0" collapsed="false">
      <c r="A22" s="3" t="n">
        <v>21</v>
      </c>
      <c r="B22" s="3" t="s">
        <v>14</v>
      </c>
      <c r="C22" s="3" t="s">
        <v>165</v>
      </c>
      <c r="D22" s="3" t="s">
        <v>99</v>
      </c>
      <c r="E22" s="3" t="s">
        <v>15</v>
      </c>
      <c r="F22" s="3" t="s">
        <v>166</v>
      </c>
      <c r="G22" s="3" t="s">
        <v>167</v>
      </c>
      <c r="H22" s="3" t="s">
        <v>168</v>
      </c>
      <c r="I22" s="3" t="s">
        <v>169</v>
      </c>
      <c r="J22" s="3" t="s">
        <v>170</v>
      </c>
      <c r="K22" s="3" t="s">
        <v>171</v>
      </c>
      <c r="L22" s="3" t="n">
        <v>9</v>
      </c>
    </row>
    <row r="23" customFormat="false" ht="32.8" hidden="false" customHeight="false" outlineLevel="0" collapsed="false">
      <c r="A23" s="4" t="n">
        <v>22</v>
      </c>
      <c r="B23" s="4" t="s">
        <v>14</v>
      </c>
      <c r="C23" s="4" t="s">
        <v>172</v>
      </c>
      <c r="D23" s="4" t="s">
        <v>99</v>
      </c>
      <c r="E23" s="4" t="s">
        <v>15</v>
      </c>
      <c r="F23" s="4" t="s">
        <v>173</v>
      </c>
      <c r="G23" s="4" t="s">
        <v>174</v>
      </c>
      <c r="H23" s="4" t="s">
        <v>175</v>
      </c>
      <c r="I23" s="4" t="s">
        <v>176</v>
      </c>
      <c r="J23" s="4" t="s">
        <v>177</v>
      </c>
      <c r="K23" s="4" t="s">
        <v>178</v>
      </c>
      <c r="L23" s="4" t="n">
        <v>10</v>
      </c>
    </row>
    <row r="24" customFormat="false" ht="32.8" hidden="false" customHeight="false" outlineLevel="0" collapsed="false">
      <c r="A24" s="3" t="n">
        <v>23</v>
      </c>
      <c r="B24" s="3" t="s">
        <v>14</v>
      </c>
      <c r="C24" s="3" t="s">
        <v>179</v>
      </c>
      <c r="D24" s="3" t="s">
        <v>99</v>
      </c>
      <c r="E24" s="3" t="s">
        <v>15</v>
      </c>
      <c r="F24" s="3" t="s">
        <v>180</v>
      </c>
      <c r="G24" s="3" t="s">
        <v>181</v>
      </c>
      <c r="H24" s="3" t="s">
        <v>182</v>
      </c>
      <c r="I24" s="3" t="s">
        <v>183</v>
      </c>
      <c r="J24" s="3" t="s">
        <v>184</v>
      </c>
      <c r="K24" s="3" t="s">
        <v>185</v>
      </c>
      <c r="L24" s="3" t="n">
        <v>9</v>
      </c>
    </row>
    <row r="25" customFormat="false" ht="32.8" hidden="false" customHeight="false" outlineLevel="0" collapsed="false">
      <c r="A25" s="4" t="n">
        <v>24</v>
      </c>
      <c r="B25" s="4" t="s">
        <v>14</v>
      </c>
      <c r="C25" s="4" t="s">
        <v>186</v>
      </c>
      <c r="D25" s="4" t="s">
        <v>99</v>
      </c>
      <c r="E25" s="4" t="s">
        <v>15</v>
      </c>
      <c r="F25" s="4" t="s">
        <v>187</v>
      </c>
      <c r="G25" s="4" t="s">
        <v>188</v>
      </c>
      <c r="H25" s="4" t="s">
        <v>168</v>
      </c>
      <c r="I25" s="4" t="s">
        <v>189</v>
      </c>
      <c r="J25" s="4" t="s">
        <v>190</v>
      </c>
      <c r="K25" s="4" t="s">
        <v>191</v>
      </c>
      <c r="L25" s="4" t="n">
        <v>8</v>
      </c>
    </row>
    <row r="26" customFormat="false" ht="32.8" hidden="false" customHeight="false" outlineLevel="0" collapsed="false">
      <c r="A26" s="3" t="n">
        <v>25</v>
      </c>
      <c r="B26" s="3" t="s">
        <v>14</v>
      </c>
      <c r="C26" s="3" t="s">
        <v>192</v>
      </c>
      <c r="D26" s="3" t="s">
        <v>99</v>
      </c>
      <c r="E26" s="3" t="s">
        <v>15</v>
      </c>
      <c r="F26" s="3" t="s">
        <v>193</v>
      </c>
      <c r="G26" s="3" t="s">
        <v>194</v>
      </c>
      <c r="H26" s="3" t="s">
        <v>195</v>
      </c>
      <c r="I26" s="3" t="s">
        <v>196</v>
      </c>
      <c r="J26" s="3" t="s">
        <v>197</v>
      </c>
      <c r="K26" s="3" t="s">
        <v>198</v>
      </c>
      <c r="L26" s="3" t="n">
        <v>8</v>
      </c>
    </row>
    <row r="27" customFormat="false" ht="32.8" hidden="false" customHeight="false" outlineLevel="0" collapsed="false">
      <c r="A27" s="4" t="n">
        <v>26</v>
      </c>
      <c r="B27" s="4" t="s">
        <v>14</v>
      </c>
      <c r="C27" s="4" t="s">
        <v>199</v>
      </c>
      <c r="D27" s="4" t="s">
        <v>99</v>
      </c>
      <c r="E27" s="4" t="s">
        <v>15</v>
      </c>
      <c r="F27" s="4" t="s">
        <v>200</v>
      </c>
      <c r="G27" s="4" t="s">
        <v>201</v>
      </c>
      <c r="H27" s="4" t="s">
        <v>202</v>
      </c>
      <c r="I27" s="4" t="s">
        <v>203</v>
      </c>
      <c r="J27" s="4" t="s">
        <v>204</v>
      </c>
      <c r="K27" s="4" t="s">
        <v>205</v>
      </c>
      <c r="L27" s="4" t="n">
        <v>7</v>
      </c>
    </row>
    <row r="28" customFormat="false" ht="32.8" hidden="false" customHeight="false" outlineLevel="0" collapsed="false">
      <c r="A28" s="3" t="n">
        <v>27</v>
      </c>
      <c r="B28" s="3" t="s">
        <v>14</v>
      </c>
      <c r="C28" s="3" t="s">
        <v>206</v>
      </c>
      <c r="D28" s="3" t="s">
        <v>99</v>
      </c>
      <c r="E28" s="3" t="s">
        <v>15</v>
      </c>
      <c r="F28" s="3" t="s">
        <v>207</v>
      </c>
      <c r="G28" s="3" t="s">
        <v>208</v>
      </c>
      <c r="H28" s="3" t="s">
        <v>209</v>
      </c>
      <c r="I28" s="3" t="s">
        <v>210</v>
      </c>
      <c r="J28" s="3" t="s">
        <v>211</v>
      </c>
      <c r="K28" s="3" t="s">
        <v>121</v>
      </c>
      <c r="L28" s="3" t="n">
        <v>9</v>
      </c>
    </row>
    <row r="29" customFormat="false" ht="22.35" hidden="false" customHeight="false" outlineLevel="0" collapsed="false">
      <c r="A29" s="4" t="n">
        <v>28</v>
      </c>
      <c r="B29" s="4" t="s">
        <v>14</v>
      </c>
      <c r="C29" s="4" t="s">
        <v>212</v>
      </c>
      <c r="D29" s="4" t="s">
        <v>137</v>
      </c>
      <c r="E29" s="4" t="s">
        <v>15</v>
      </c>
      <c r="F29" s="4" t="s">
        <v>213</v>
      </c>
      <c r="G29" s="4" t="s">
        <v>214</v>
      </c>
      <c r="H29" s="4" t="s">
        <v>215</v>
      </c>
      <c r="I29" s="4" t="s">
        <v>216</v>
      </c>
      <c r="J29" s="4" t="s">
        <v>217</v>
      </c>
      <c r="K29" s="4" t="s">
        <v>218</v>
      </c>
      <c r="L29" s="4" t="n">
        <v>8</v>
      </c>
    </row>
    <row r="30" customFormat="false" ht="32.8" hidden="false" customHeight="false" outlineLevel="0" collapsed="false">
      <c r="A30" s="3" t="n">
        <v>29</v>
      </c>
      <c r="B30" s="3" t="s">
        <v>14</v>
      </c>
      <c r="C30" s="3" t="s">
        <v>219</v>
      </c>
      <c r="D30" s="3" t="s">
        <v>99</v>
      </c>
      <c r="E30" s="3" t="s">
        <v>15</v>
      </c>
      <c r="F30" s="3" t="s">
        <v>220</v>
      </c>
      <c r="G30" s="3" t="s">
        <v>221</v>
      </c>
      <c r="H30" s="3" t="s">
        <v>222</v>
      </c>
      <c r="I30" s="3" t="s">
        <v>223</v>
      </c>
      <c r="J30" s="3" t="s">
        <v>224</v>
      </c>
      <c r="K30" s="3" t="s">
        <v>225</v>
      </c>
      <c r="L30" s="3" t="n">
        <v>9</v>
      </c>
    </row>
    <row r="31" customFormat="false" ht="32.8" hidden="false" customHeight="false" outlineLevel="0" collapsed="false">
      <c r="A31" s="4" t="n">
        <v>30</v>
      </c>
      <c r="B31" s="4" t="s">
        <v>14</v>
      </c>
      <c r="C31" s="4" t="s">
        <v>226</v>
      </c>
      <c r="D31" s="4" t="s">
        <v>99</v>
      </c>
      <c r="E31" s="4" t="s">
        <v>15</v>
      </c>
      <c r="F31" s="4" t="s">
        <v>227</v>
      </c>
      <c r="G31" s="4" t="s">
        <v>228</v>
      </c>
      <c r="H31" s="4" t="s">
        <v>229</v>
      </c>
      <c r="I31" s="4" t="s">
        <v>230</v>
      </c>
      <c r="J31" s="4" t="s">
        <v>231</v>
      </c>
      <c r="K31" s="4" t="s">
        <v>232</v>
      </c>
      <c r="L31" s="4" t="n">
        <v>9</v>
      </c>
    </row>
    <row r="32" customFormat="false" ht="32.8" hidden="false" customHeight="false" outlineLevel="0" collapsed="false">
      <c r="A32" s="3" t="n">
        <v>31</v>
      </c>
      <c r="B32" s="3" t="s">
        <v>14</v>
      </c>
      <c r="C32" s="3" t="s">
        <v>233</v>
      </c>
      <c r="D32" s="3" t="s">
        <v>234</v>
      </c>
      <c r="E32" s="3" t="s">
        <v>15</v>
      </c>
      <c r="F32" s="3" t="s">
        <v>235</v>
      </c>
      <c r="G32" s="3" t="s">
        <v>236</v>
      </c>
      <c r="H32" s="3" t="s">
        <v>237</v>
      </c>
      <c r="I32" s="3" t="s">
        <v>238</v>
      </c>
      <c r="J32" s="3" t="s">
        <v>239</v>
      </c>
      <c r="K32" s="3" t="s">
        <v>240</v>
      </c>
      <c r="L32" s="3" t="n">
        <v>10</v>
      </c>
    </row>
    <row r="33" customFormat="false" ht="32.8" hidden="false" customHeight="false" outlineLevel="0" collapsed="false">
      <c r="A33" s="4" t="n">
        <v>32</v>
      </c>
      <c r="B33" s="4" t="s">
        <v>14</v>
      </c>
      <c r="C33" s="4" t="s">
        <v>241</v>
      </c>
      <c r="D33" s="4" t="s">
        <v>234</v>
      </c>
      <c r="E33" s="4" t="s">
        <v>15</v>
      </c>
      <c r="F33" s="4" t="s">
        <v>242</v>
      </c>
      <c r="G33" s="4" t="s">
        <v>243</v>
      </c>
      <c r="H33" s="4" t="s">
        <v>244</v>
      </c>
      <c r="I33" s="4" t="s">
        <v>245</v>
      </c>
      <c r="J33" s="4" t="s">
        <v>246</v>
      </c>
      <c r="K33" s="4" t="s">
        <v>240</v>
      </c>
      <c r="L33" s="4" t="n">
        <v>9</v>
      </c>
    </row>
    <row r="34" customFormat="false" ht="22.35" hidden="false" customHeight="false" outlineLevel="0" collapsed="false">
      <c r="A34" s="3" t="n">
        <v>33</v>
      </c>
      <c r="B34" s="3" t="s">
        <v>14</v>
      </c>
      <c r="C34" s="3" t="s">
        <v>247</v>
      </c>
      <c r="D34" s="3" t="s">
        <v>248</v>
      </c>
      <c r="E34" s="3" t="s">
        <v>15</v>
      </c>
      <c r="F34" s="3" t="s">
        <v>249</v>
      </c>
      <c r="G34" s="3" t="s">
        <v>250</v>
      </c>
      <c r="H34" s="3" t="s">
        <v>251</v>
      </c>
      <c r="I34" s="3" t="s">
        <v>252</v>
      </c>
      <c r="J34" s="3" t="s">
        <v>253</v>
      </c>
      <c r="K34" s="3" t="s">
        <v>254</v>
      </c>
      <c r="L34" s="3" t="n">
        <v>9</v>
      </c>
    </row>
    <row r="35" customFormat="false" ht="32.8" hidden="false" customHeight="false" outlineLevel="0" collapsed="false">
      <c r="A35" s="4" t="n">
        <v>34</v>
      </c>
      <c r="B35" s="4" t="s">
        <v>14</v>
      </c>
      <c r="C35" s="4" t="s">
        <v>255</v>
      </c>
      <c r="D35" s="4" t="s">
        <v>234</v>
      </c>
      <c r="E35" s="4" t="s">
        <v>15</v>
      </c>
      <c r="F35" s="4" t="s">
        <v>256</v>
      </c>
      <c r="G35" s="4" t="s">
        <v>257</v>
      </c>
      <c r="H35" s="4" t="s">
        <v>258</v>
      </c>
      <c r="I35" s="4" t="s">
        <v>259</v>
      </c>
      <c r="J35" s="4" t="s">
        <v>260</v>
      </c>
      <c r="K35" s="4" t="s">
        <v>261</v>
      </c>
      <c r="L35" s="4" t="n">
        <v>9</v>
      </c>
    </row>
    <row r="36" customFormat="false" ht="32.8" hidden="false" customHeight="false" outlineLevel="0" collapsed="false">
      <c r="A36" s="3" t="n">
        <v>35</v>
      </c>
      <c r="B36" s="3" t="s">
        <v>14</v>
      </c>
      <c r="C36" s="3" t="s">
        <v>262</v>
      </c>
      <c r="D36" s="3" t="s">
        <v>14</v>
      </c>
      <c r="E36" s="3" t="s">
        <v>15</v>
      </c>
      <c r="F36" s="3" t="s">
        <v>263</v>
      </c>
      <c r="G36" s="3" t="s">
        <v>264</v>
      </c>
      <c r="H36" s="3" t="s">
        <v>265</v>
      </c>
      <c r="I36" s="3" t="s">
        <v>266</v>
      </c>
      <c r="J36" s="3" t="s">
        <v>267</v>
      </c>
      <c r="K36" s="3" t="s">
        <v>268</v>
      </c>
      <c r="L36" s="3" t="n">
        <v>8</v>
      </c>
    </row>
    <row r="37" customFormat="false" ht="32.8" hidden="false" customHeight="false" outlineLevel="0" collapsed="false">
      <c r="A37" s="4" t="n">
        <v>36</v>
      </c>
      <c r="B37" s="4" t="s">
        <v>14</v>
      </c>
      <c r="C37" s="4" t="s">
        <v>269</v>
      </c>
      <c r="D37" s="4" t="s">
        <v>14</v>
      </c>
      <c r="E37" s="4" t="s">
        <v>15</v>
      </c>
      <c r="F37" s="4" t="s">
        <v>270</v>
      </c>
      <c r="G37" s="4" t="s">
        <v>271</v>
      </c>
      <c r="H37" s="4" t="s">
        <v>272</v>
      </c>
      <c r="I37" s="4" t="s">
        <v>273</v>
      </c>
      <c r="J37" s="4" t="s">
        <v>274</v>
      </c>
      <c r="K37" s="4" t="s">
        <v>97</v>
      </c>
      <c r="L37" s="4" t="n">
        <v>8</v>
      </c>
    </row>
    <row r="38" customFormat="false" ht="32.8" hidden="false" customHeight="false" outlineLevel="0" collapsed="false">
      <c r="A38" s="3" t="n">
        <v>37</v>
      </c>
      <c r="B38" s="3" t="s">
        <v>14</v>
      </c>
      <c r="C38" s="3" t="s">
        <v>275</v>
      </c>
      <c r="D38" s="3" t="s">
        <v>14</v>
      </c>
      <c r="E38" s="3" t="s">
        <v>15</v>
      </c>
      <c r="F38" s="3" t="s">
        <v>276</v>
      </c>
      <c r="G38" s="3" t="s">
        <v>277</v>
      </c>
      <c r="H38" s="3" t="s">
        <v>278</v>
      </c>
      <c r="I38" s="3" t="s">
        <v>279</v>
      </c>
      <c r="J38" s="3" t="s">
        <v>280</v>
      </c>
      <c r="K38" s="3" t="s">
        <v>281</v>
      </c>
      <c r="L38" s="3" t="n">
        <v>8</v>
      </c>
    </row>
    <row r="39" customFormat="false" ht="22.35" hidden="false" customHeight="false" outlineLevel="0" collapsed="false">
      <c r="A39" s="4" t="n">
        <v>38</v>
      </c>
      <c r="B39" s="4" t="s">
        <v>14</v>
      </c>
      <c r="C39" s="4" t="s">
        <v>282</v>
      </c>
      <c r="D39" s="4" t="s">
        <v>14</v>
      </c>
      <c r="E39" s="4" t="s">
        <v>15</v>
      </c>
      <c r="F39" s="4" t="s">
        <v>283</v>
      </c>
      <c r="G39" s="4" t="s">
        <v>284</v>
      </c>
      <c r="H39" s="4" t="s">
        <v>272</v>
      </c>
      <c r="I39" s="4" t="s">
        <v>285</v>
      </c>
      <c r="J39" s="4" t="s">
        <v>286</v>
      </c>
      <c r="K39" s="4" t="s">
        <v>287</v>
      </c>
      <c r="L39" s="4" t="n">
        <v>8</v>
      </c>
    </row>
    <row r="40" customFormat="false" ht="32.8" hidden="false" customHeight="false" outlineLevel="0" collapsed="false">
      <c r="A40" s="3" t="n">
        <v>39</v>
      </c>
      <c r="B40" s="3" t="s">
        <v>14</v>
      </c>
      <c r="C40" s="3" t="s">
        <v>288</v>
      </c>
      <c r="D40" s="3" t="s">
        <v>14</v>
      </c>
      <c r="E40" s="3" t="s">
        <v>15</v>
      </c>
      <c r="F40" s="3" t="s">
        <v>289</v>
      </c>
      <c r="G40" s="3" t="s">
        <v>290</v>
      </c>
      <c r="H40" s="3" t="s">
        <v>291</v>
      </c>
      <c r="I40" s="3" t="s">
        <v>292</v>
      </c>
      <c r="J40" s="3" t="s">
        <v>293</v>
      </c>
      <c r="K40" s="3" t="s">
        <v>294</v>
      </c>
      <c r="L40" s="3" t="n">
        <v>9</v>
      </c>
    </row>
    <row r="41" customFormat="false" ht="32.8" hidden="false" customHeight="false" outlineLevel="0" collapsed="false">
      <c r="A41" s="4" t="n">
        <v>40</v>
      </c>
      <c r="B41" s="4" t="s">
        <v>14</v>
      </c>
      <c r="C41" s="4" t="s">
        <v>295</v>
      </c>
      <c r="D41" s="4" t="s">
        <v>14</v>
      </c>
      <c r="E41" s="4" t="s">
        <v>15</v>
      </c>
      <c r="F41" s="4" t="s">
        <v>296</v>
      </c>
      <c r="G41" s="4" t="s">
        <v>297</v>
      </c>
      <c r="H41" s="4" t="s">
        <v>298</v>
      </c>
      <c r="I41" s="4" t="s">
        <v>299</v>
      </c>
      <c r="J41" s="4" t="s">
        <v>300</v>
      </c>
      <c r="K41" s="4" t="s">
        <v>301</v>
      </c>
      <c r="L41" s="4" t="n">
        <v>9</v>
      </c>
    </row>
    <row r="42" customFormat="false" ht="32.8" hidden="false" customHeight="false" outlineLevel="0" collapsed="false">
      <c r="A42" s="3" t="n">
        <v>41</v>
      </c>
      <c r="B42" s="3" t="s">
        <v>14</v>
      </c>
      <c r="C42" s="3" t="s">
        <v>302</v>
      </c>
      <c r="D42" s="3" t="s">
        <v>99</v>
      </c>
      <c r="E42" s="3" t="s">
        <v>15</v>
      </c>
      <c r="F42" s="3" t="s">
        <v>303</v>
      </c>
      <c r="G42" s="3" t="s">
        <v>304</v>
      </c>
      <c r="H42" s="3" t="s">
        <v>305</v>
      </c>
      <c r="I42" s="3" t="s">
        <v>306</v>
      </c>
      <c r="J42" s="3" t="s">
        <v>307</v>
      </c>
      <c r="K42" s="3" t="s">
        <v>308</v>
      </c>
      <c r="L42" s="3" t="n">
        <v>10</v>
      </c>
    </row>
    <row r="43" customFormat="false" ht="22.35" hidden="false" customHeight="false" outlineLevel="0" collapsed="false">
      <c r="A43" s="4" t="n">
        <v>42</v>
      </c>
      <c r="B43" s="4" t="s">
        <v>14</v>
      </c>
      <c r="C43" s="4" t="s">
        <v>309</v>
      </c>
      <c r="D43" s="4" t="s">
        <v>14</v>
      </c>
      <c r="E43" s="4" t="s">
        <v>15</v>
      </c>
      <c r="F43" s="4" t="s">
        <v>310</v>
      </c>
      <c r="G43" s="4" t="s">
        <v>311</v>
      </c>
      <c r="H43" s="4" t="s">
        <v>312</v>
      </c>
      <c r="I43" s="4" t="s">
        <v>313</v>
      </c>
      <c r="J43" s="4" t="s">
        <v>314</v>
      </c>
      <c r="K43" s="4" t="s">
        <v>315</v>
      </c>
      <c r="L43" s="4" t="n">
        <v>8</v>
      </c>
    </row>
    <row r="44" customFormat="false" ht="32.8" hidden="false" customHeight="false" outlineLevel="0" collapsed="false">
      <c r="A44" s="3" t="n">
        <v>43</v>
      </c>
      <c r="B44" s="3" t="s">
        <v>14</v>
      </c>
      <c r="C44" s="3" t="s">
        <v>316</v>
      </c>
      <c r="D44" s="3" t="s">
        <v>14</v>
      </c>
      <c r="E44" s="3" t="s">
        <v>15</v>
      </c>
      <c r="F44" s="3" t="s">
        <v>317</v>
      </c>
      <c r="G44" s="3" t="s">
        <v>318</v>
      </c>
      <c r="H44" s="3" t="s">
        <v>319</v>
      </c>
      <c r="I44" s="3" t="s">
        <v>320</v>
      </c>
      <c r="J44" s="3" t="s">
        <v>321</v>
      </c>
      <c r="K44" s="3" t="s">
        <v>322</v>
      </c>
      <c r="L44" s="3" t="n">
        <v>8</v>
      </c>
    </row>
    <row r="45" customFormat="false" ht="22.35" hidden="false" customHeight="false" outlineLevel="0" collapsed="false">
      <c r="A45" s="4" t="n">
        <v>44</v>
      </c>
      <c r="B45" s="4" t="s">
        <v>14</v>
      </c>
      <c r="C45" s="4" t="s">
        <v>323</v>
      </c>
      <c r="D45" s="4" t="s">
        <v>99</v>
      </c>
      <c r="E45" s="4" t="s">
        <v>15</v>
      </c>
      <c r="F45" s="4" t="s">
        <v>324</v>
      </c>
      <c r="G45" s="4" t="s">
        <v>325</v>
      </c>
      <c r="H45" s="4" t="s">
        <v>326</v>
      </c>
      <c r="I45" s="4" t="s">
        <v>327</v>
      </c>
      <c r="J45" s="4" t="s">
        <v>328</v>
      </c>
      <c r="K45" s="4" t="s">
        <v>329</v>
      </c>
      <c r="L45" s="4" t="n">
        <v>8</v>
      </c>
    </row>
    <row r="46" customFormat="false" ht="32.8" hidden="false" customHeight="false" outlineLevel="0" collapsed="false">
      <c r="A46" s="3" t="n">
        <v>45</v>
      </c>
      <c r="B46" s="3" t="s">
        <v>14</v>
      </c>
      <c r="C46" s="3" t="s">
        <v>330</v>
      </c>
      <c r="D46" s="3" t="s">
        <v>234</v>
      </c>
      <c r="E46" s="3" t="s">
        <v>15</v>
      </c>
      <c r="F46" s="3" t="s">
        <v>331</v>
      </c>
      <c r="G46" s="3" t="s">
        <v>332</v>
      </c>
      <c r="H46" s="3" t="s">
        <v>333</v>
      </c>
      <c r="I46" s="3" t="s">
        <v>334</v>
      </c>
      <c r="J46" s="3" t="s">
        <v>335</v>
      </c>
      <c r="K46" s="3" t="s">
        <v>336</v>
      </c>
      <c r="L46" s="3" t="n">
        <v>9</v>
      </c>
    </row>
    <row r="47" customFormat="false" ht="32.8" hidden="false" customHeight="false" outlineLevel="0" collapsed="false">
      <c r="A47" s="4" t="n">
        <v>46</v>
      </c>
      <c r="B47" s="4" t="s">
        <v>14</v>
      </c>
      <c r="C47" s="4" t="s">
        <v>337</v>
      </c>
      <c r="D47" s="4" t="s">
        <v>99</v>
      </c>
      <c r="E47" s="4" t="s">
        <v>15</v>
      </c>
      <c r="F47" s="4" t="s">
        <v>338</v>
      </c>
      <c r="G47" s="4" t="s">
        <v>339</v>
      </c>
      <c r="H47" s="4" t="s">
        <v>340</v>
      </c>
      <c r="I47" s="4" t="s">
        <v>341</v>
      </c>
      <c r="J47" s="4" t="s">
        <v>342</v>
      </c>
      <c r="K47" s="4" t="s">
        <v>37</v>
      </c>
      <c r="L47" s="4" t="n">
        <v>8</v>
      </c>
    </row>
    <row r="48" customFormat="false" ht="32.8" hidden="false" customHeight="false" outlineLevel="0" collapsed="false">
      <c r="A48" s="3" t="n">
        <v>47</v>
      </c>
      <c r="B48" s="3" t="s">
        <v>14</v>
      </c>
      <c r="C48" s="3" t="s">
        <v>343</v>
      </c>
      <c r="D48" s="3" t="s">
        <v>234</v>
      </c>
      <c r="E48" s="3" t="s">
        <v>15</v>
      </c>
      <c r="F48" s="3" t="s">
        <v>344</v>
      </c>
      <c r="G48" s="3" t="s">
        <v>345</v>
      </c>
      <c r="H48" s="3" t="s">
        <v>346</v>
      </c>
      <c r="I48" s="3" t="s">
        <v>347</v>
      </c>
      <c r="J48" s="3" t="s">
        <v>348</v>
      </c>
      <c r="K48" s="3" t="s">
        <v>349</v>
      </c>
      <c r="L48" s="3" t="n">
        <v>10</v>
      </c>
    </row>
    <row r="49" customFormat="false" ht="32.8" hidden="false" customHeight="false" outlineLevel="0" collapsed="false">
      <c r="A49" s="4" t="n">
        <v>48</v>
      </c>
      <c r="B49" s="4" t="s">
        <v>14</v>
      </c>
      <c r="C49" s="4" t="s">
        <v>350</v>
      </c>
      <c r="D49" s="4" t="s">
        <v>14</v>
      </c>
      <c r="E49" s="4" t="s">
        <v>15</v>
      </c>
      <c r="F49" s="4" t="s">
        <v>351</v>
      </c>
      <c r="G49" s="4" t="s">
        <v>352</v>
      </c>
      <c r="H49" s="4" t="s">
        <v>353</v>
      </c>
      <c r="I49" s="4" t="s">
        <v>354</v>
      </c>
      <c r="J49" s="4" t="s">
        <v>355</v>
      </c>
      <c r="K49" s="4" t="s">
        <v>356</v>
      </c>
      <c r="L49" s="4" t="n">
        <v>9</v>
      </c>
    </row>
    <row r="50" customFormat="false" ht="32.8" hidden="false" customHeight="false" outlineLevel="0" collapsed="false">
      <c r="A50" s="3" t="n">
        <v>49</v>
      </c>
      <c r="B50" s="3" t="s">
        <v>14</v>
      </c>
      <c r="C50" s="3" t="s">
        <v>357</v>
      </c>
      <c r="D50" s="3" t="s">
        <v>14</v>
      </c>
      <c r="E50" s="3" t="s">
        <v>15</v>
      </c>
      <c r="F50" s="3" t="s">
        <v>358</v>
      </c>
      <c r="G50" s="3" t="s">
        <v>359</v>
      </c>
      <c r="H50" s="3" t="s">
        <v>360</v>
      </c>
      <c r="I50" s="3" t="s">
        <v>361</v>
      </c>
      <c r="J50" s="3" t="s">
        <v>362</v>
      </c>
      <c r="K50" s="3" t="s">
        <v>363</v>
      </c>
      <c r="L50" s="3" t="n">
        <v>8</v>
      </c>
    </row>
    <row r="51" customFormat="false" ht="32.8" hidden="false" customHeight="false" outlineLevel="0" collapsed="false">
      <c r="A51" s="4" t="n">
        <v>50</v>
      </c>
      <c r="B51" s="4" t="s">
        <v>14</v>
      </c>
      <c r="C51" s="4" t="s">
        <v>364</v>
      </c>
      <c r="D51" s="4" t="s">
        <v>14</v>
      </c>
      <c r="E51" s="4" t="s">
        <v>15</v>
      </c>
      <c r="F51" s="4" t="s">
        <v>365</v>
      </c>
      <c r="G51" s="4" t="s">
        <v>366</v>
      </c>
      <c r="H51" s="4" t="s">
        <v>360</v>
      </c>
      <c r="I51" s="4" t="s">
        <v>367</v>
      </c>
      <c r="J51" s="4" t="s">
        <v>368</v>
      </c>
      <c r="K51" s="4" t="s">
        <v>369</v>
      </c>
      <c r="L51" s="4" t="n">
        <v>8</v>
      </c>
    </row>
    <row r="52" customFormat="false" ht="32.8" hidden="false" customHeight="false" outlineLevel="0" collapsed="false">
      <c r="A52" s="3" t="n">
        <v>51</v>
      </c>
      <c r="B52" s="3" t="s">
        <v>14</v>
      </c>
      <c r="C52" s="3" t="s">
        <v>370</v>
      </c>
      <c r="D52" s="3" t="s">
        <v>14</v>
      </c>
      <c r="E52" s="3" t="s">
        <v>371</v>
      </c>
      <c r="F52" s="3" t="s">
        <v>372</v>
      </c>
      <c r="G52" s="3" t="s">
        <v>373</v>
      </c>
      <c r="H52" s="3" t="s">
        <v>374</v>
      </c>
      <c r="I52" s="3" t="s">
        <v>375</v>
      </c>
      <c r="J52" s="3" t="s">
        <v>376</v>
      </c>
      <c r="K52" s="3" t="s">
        <v>377</v>
      </c>
      <c r="L52" s="3" t="n">
        <v>9</v>
      </c>
    </row>
    <row r="53" customFormat="false" ht="32.8" hidden="false" customHeight="false" outlineLevel="0" collapsed="false">
      <c r="A53" s="4" t="n">
        <v>52</v>
      </c>
      <c r="B53" s="4" t="s">
        <v>14</v>
      </c>
      <c r="C53" s="4" t="s">
        <v>378</v>
      </c>
      <c r="D53" s="4" t="s">
        <v>14</v>
      </c>
      <c r="E53" s="4" t="s">
        <v>371</v>
      </c>
      <c r="F53" s="4" t="s">
        <v>379</v>
      </c>
      <c r="G53" s="4" t="s">
        <v>380</v>
      </c>
      <c r="H53" s="4" t="s">
        <v>381</v>
      </c>
      <c r="I53" s="4" t="s">
        <v>382</v>
      </c>
      <c r="J53" s="4" t="s">
        <v>383</v>
      </c>
      <c r="K53" s="4" t="s">
        <v>384</v>
      </c>
      <c r="L53" s="4" t="n">
        <v>9</v>
      </c>
    </row>
    <row r="54" customFormat="false" ht="22.35" hidden="false" customHeight="false" outlineLevel="0" collapsed="false">
      <c r="A54" s="3" t="n">
        <v>53</v>
      </c>
      <c r="B54" s="3" t="s">
        <v>14</v>
      </c>
      <c r="C54" s="3" t="s">
        <v>385</v>
      </c>
      <c r="D54" s="3" t="s">
        <v>14</v>
      </c>
      <c r="E54" s="3" t="s">
        <v>371</v>
      </c>
      <c r="F54" s="3" t="s">
        <v>386</v>
      </c>
      <c r="G54" s="3" t="s">
        <v>387</v>
      </c>
      <c r="H54" s="3" t="s">
        <v>388</v>
      </c>
      <c r="I54" s="3" t="s">
        <v>389</v>
      </c>
      <c r="J54" s="3" t="s">
        <v>390</v>
      </c>
      <c r="K54" s="3" t="s">
        <v>391</v>
      </c>
      <c r="L54" s="3" t="n">
        <v>10</v>
      </c>
    </row>
    <row r="55" customFormat="false" ht="32.8" hidden="false" customHeight="false" outlineLevel="0" collapsed="false">
      <c r="A55" s="4" t="n">
        <v>54</v>
      </c>
      <c r="B55" s="4" t="s">
        <v>14</v>
      </c>
      <c r="C55" s="4" t="s">
        <v>392</v>
      </c>
      <c r="D55" s="4" t="s">
        <v>99</v>
      </c>
      <c r="E55" s="4" t="s">
        <v>371</v>
      </c>
      <c r="F55" s="4" t="s">
        <v>393</v>
      </c>
      <c r="G55" s="4" t="s">
        <v>394</v>
      </c>
      <c r="H55" s="4" t="s">
        <v>395</v>
      </c>
      <c r="I55" s="4" t="s">
        <v>396</v>
      </c>
      <c r="J55" s="4" t="s">
        <v>397</v>
      </c>
      <c r="K55" s="4" t="s">
        <v>398</v>
      </c>
      <c r="L55" s="4" t="n">
        <v>9</v>
      </c>
    </row>
    <row r="56" customFormat="false" ht="32.8" hidden="false" customHeight="false" outlineLevel="0" collapsed="false">
      <c r="A56" s="3" t="n">
        <v>55</v>
      </c>
      <c r="B56" s="3" t="s">
        <v>14</v>
      </c>
      <c r="C56" s="3" t="s">
        <v>399</v>
      </c>
      <c r="D56" s="3" t="s">
        <v>99</v>
      </c>
      <c r="E56" s="3" t="s">
        <v>371</v>
      </c>
      <c r="F56" s="3" t="s">
        <v>400</v>
      </c>
      <c r="G56" s="3" t="s">
        <v>401</v>
      </c>
      <c r="H56" s="3" t="s">
        <v>402</v>
      </c>
      <c r="I56" s="3" t="s">
        <v>403</v>
      </c>
      <c r="J56" s="3" t="s">
        <v>404</v>
      </c>
      <c r="K56" s="3" t="s">
        <v>405</v>
      </c>
      <c r="L56" s="3" t="n">
        <v>8</v>
      </c>
    </row>
    <row r="57" customFormat="false" ht="32.8" hidden="false" customHeight="false" outlineLevel="0" collapsed="false">
      <c r="A57" s="4" t="n">
        <v>56</v>
      </c>
      <c r="B57" s="4" t="s">
        <v>14</v>
      </c>
      <c r="C57" s="4" t="s">
        <v>406</v>
      </c>
      <c r="D57" s="4" t="s">
        <v>99</v>
      </c>
      <c r="E57" s="4" t="s">
        <v>371</v>
      </c>
      <c r="F57" s="4" t="s">
        <v>407</v>
      </c>
      <c r="G57" s="4" t="s">
        <v>408</v>
      </c>
      <c r="H57" s="4" t="s">
        <v>409</v>
      </c>
      <c r="I57" s="4" t="s">
        <v>410</v>
      </c>
      <c r="J57" s="4" t="s">
        <v>411</v>
      </c>
      <c r="K57" s="4" t="s">
        <v>412</v>
      </c>
      <c r="L57" s="4" t="n">
        <v>9</v>
      </c>
    </row>
    <row r="58" customFormat="false" ht="32.8" hidden="false" customHeight="false" outlineLevel="0" collapsed="false">
      <c r="A58" s="3" t="n">
        <v>57</v>
      </c>
      <c r="B58" s="3" t="s">
        <v>14</v>
      </c>
      <c r="C58" s="3" t="s">
        <v>413</v>
      </c>
      <c r="D58" s="3" t="s">
        <v>14</v>
      </c>
      <c r="E58" s="3" t="s">
        <v>371</v>
      </c>
      <c r="F58" s="3" t="s">
        <v>414</v>
      </c>
      <c r="G58" s="3" t="s">
        <v>415</v>
      </c>
      <c r="H58" s="3" t="s">
        <v>416</v>
      </c>
      <c r="I58" s="3" t="s">
        <v>417</v>
      </c>
      <c r="J58" s="3" t="s">
        <v>418</v>
      </c>
      <c r="K58" s="3" t="s">
        <v>419</v>
      </c>
      <c r="L58" s="3" t="n">
        <v>10</v>
      </c>
    </row>
    <row r="59" customFormat="false" ht="32.8" hidden="false" customHeight="false" outlineLevel="0" collapsed="false">
      <c r="A59" s="4" t="n">
        <v>58</v>
      </c>
      <c r="B59" s="4" t="s">
        <v>14</v>
      </c>
      <c r="C59" s="4" t="s">
        <v>420</v>
      </c>
      <c r="D59" s="4" t="s">
        <v>14</v>
      </c>
      <c r="E59" s="4" t="s">
        <v>371</v>
      </c>
      <c r="F59" s="4" t="s">
        <v>421</v>
      </c>
      <c r="G59" s="4" t="s">
        <v>422</v>
      </c>
      <c r="H59" s="4" t="s">
        <v>423</v>
      </c>
      <c r="I59" s="4" t="s">
        <v>424</v>
      </c>
      <c r="J59" s="4" t="s">
        <v>425</v>
      </c>
      <c r="K59" s="4" t="s">
        <v>426</v>
      </c>
      <c r="L59" s="4" t="n">
        <v>8</v>
      </c>
    </row>
    <row r="60" customFormat="false" ht="32.8" hidden="false" customHeight="false" outlineLevel="0" collapsed="false">
      <c r="A60" s="3" t="n">
        <v>59</v>
      </c>
      <c r="B60" s="3" t="s">
        <v>14</v>
      </c>
      <c r="C60" s="3" t="s">
        <v>427</v>
      </c>
      <c r="D60" s="3" t="s">
        <v>14</v>
      </c>
      <c r="E60" s="3" t="s">
        <v>371</v>
      </c>
      <c r="F60" s="3" t="s">
        <v>428</v>
      </c>
      <c r="G60" s="3" t="s">
        <v>429</v>
      </c>
      <c r="H60" s="3" t="s">
        <v>430</v>
      </c>
      <c r="I60" s="3" t="s">
        <v>431</v>
      </c>
      <c r="J60" s="3" t="s">
        <v>432</v>
      </c>
      <c r="K60" s="3" t="s">
        <v>433</v>
      </c>
      <c r="L60" s="3" t="n">
        <v>9</v>
      </c>
    </row>
    <row r="61" customFormat="false" ht="22.35" hidden="false" customHeight="false" outlineLevel="0" collapsed="false">
      <c r="A61" s="4" t="n">
        <v>60</v>
      </c>
      <c r="B61" s="4" t="s">
        <v>14</v>
      </c>
      <c r="C61" s="4" t="s">
        <v>434</v>
      </c>
      <c r="D61" s="4" t="s">
        <v>14</v>
      </c>
      <c r="E61" s="4" t="s">
        <v>371</v>
      </c>
      <c r="F61" s="4" t="s">
        <v>435</v>
      </c>
      <c r="G61" s="4" t="s">
        <v>436</v>
      </c>
      <c r="H61" s="4" t="s">
        <v>437</v>
      </c>
      <c r="I61" s="4" t="s">
        <v>438</v>
      </c>
      <c r="J61" s="4" t="s">
        <v>439</v>
      </c>
      <c r="K61" s="4" t="s">
        <v>440</v>
      </c>
      <c r="L61" s="4" t="n">
        <v>9</v>
      </c>
    </row>
    <row r="62" customFormat="false" ht="32.8" hidden="false" customHeight="false" outlineLevel="0" collapsed="false">
      <c r="A62" s="3" t="n">
        <v>61</v>
      </c>
      <c r="B62" s="3" t="s">
        <v>14</v>
      </c>
      <c r="C62" s="3" t="s">
        <v>441</v>
      </c>
      <c r="D62" s="3" t="s">
        <v>99</v>
      </c>
      <c r="E62" s="3" t="s">
        <v>371</v>
      </c>
      <c r="F62" s="3" t="s">
        <v>442</v>
      </c>
      <c r="G62" s="3" t="s">
        <v>443</v>
      </c>
      <c r="H62" s="3" t="s">
        <v>444</v>
      </c>
      <c r="I62" s="3" t="s">
        <v>445</v>
      </c>
      <c r="J62" s="3" t="s">
        <v>446</v>
      </c>
      <c r="K62" s="3" t="s">
        <v>447</v>
      </c>
      <c r="L62" s="3" t="n">
        <v>8</v>
      </c>
    </row>
    <row r="63" customFormat="false" ht="32.8" hidden="false" customHeight="false" outlineLevel="0" collapsed="false">
      <c r="A63" s="4" t="n">
        <v>62</v>
      </c>
      <c r="B63" s="4" t="s">
        <v>14</v>
      </c>
      <c r="C63" s="4" t="s">
        <v>448</v>
      </c>
      <c r="D63" s="4" t="s">
        <v>14</v>
      </c>
      <c r="E63" s="4" t="s">
        <v>371</v>
      </c>
      <c r="F63" s="4" t="s">
        <v>449</v>
      </c>
      <c r="G63" s="4" t="s">
        <v>450</v>
      </c>
      <c r="H63" s="4" t="s">
        <v>451</v>
      </c>
      <c r="I63" s="4" t="s">
        <v>452</v>
      </c>
      <c r="J63" s="4" t="s">
        <v>453</v>
      </c>
      <c r="K63" s="4" t="s">
        <v>454</v>
      </c>
      <c r="L63" s="4" t="n">
        <v>10</v>
      </c>
    </row>
    <row r="64" customFormat="false" ht="32.8" hidden="false" customHeight="false" outlineLevel="0" collapsed="false">
      <c r="A64" s="3" t="n">
        <v>63</v>
      </c>
      <c r="B64" s="3" t="s">
        <v>14</v>
      </c>
      <c r="C64" s="3" t="s">
        <v>455</v>
      </c>
      <c r="D64" s="3" t="s">
        <v>14</v>
      </c>
      <c r="E64" s="3" t="s">
        <v>371</v>
      </c>
      <c r="F64" s="3" t="s">
        <v>456</v>
      </c>
      <c r="G64" s="3" t="s">
        <v>457</v>
      </c>
      <c r="H64" s="3" t="s">
        <v>458</v>
      </c>
      <c r="I64" s="3" t="s">
        <v>459</v>
      </c>
      <c r="J64" s="3" t="s">
        <v>460</v>
      </c>
      <c r="K64" s="3" t="s">
        <v>461</v>
      </c>
      <c r="L64" s="3" t="n">
        <v>9</v>
      </c>
    </row>
    <row r="65" customFormat="false" ht="32.8" hidden="false" customHeight="false" outlineLevel="0" collapsed="false">
      <c r="A65" s="4" t="n">
        <v>64</v>
      </c>
      <c r="B65" s="4" t="s">
        <v>14</v>
      </c>
      <c r="C65" s="4" t="s">
        <v>462</v>
      </c>
      <c r="D65" s="4" t="s">
        <v>14</v>
      </c>
      <c r="E65" s="4" t="s">
        <v>371</v>
      </c>
      <c r="F65" s="4" t="s">
        <v>463</v>
      </c>
      <c r="G65" s="4" t="s">
        <v>464</v>
      </c>
      <c r="H65" s="4" t="s">
        <v>465</v>
      </c>
      <c r="I65" s="4" t="s">
        <v>466</v>
      </c>
      <c r="J65" s="4" t="s">
        <v>467</v>
      </c>
      <c r="K65" s="4" t="s">
        <v>468</v>
      </c>
      <c r="L65" s="4" t="n">
        <v>10</v>
      </c>
    </row>
    <row r="66" customFormat="false" ht="32.8" hidden="false" customHeight="false" outlineLevel="0" collapsed="false">
      <c r="A66" s="3" t="n">
        <v>65</v>
      </c>
      <c r="B66" s="3" t="s">
        <v>14</v>
      </c>
      <c r="C66" s="3" t="s">
        <v>469</v>
      </c>
      <c r="D66" s="3" t="s">
        <v>99</v>
      </c>
      <c r="E66" s="3" t="s">
        <v>371</v>
      </c>
      <c r="F66" s="3" t="s">
        <v>470</v>
      </c>
      <c r="G66" s="3" t="s">
        <v>471</v>
      </c>
      <c r="H66" s="3" t="s">
        <v>472</v>
      </c>
      <c r="I66" s="3" t="s">
        <v>473</v>
      </c>
      <c r="J66" s="3" t="s">
        <v>474</v>
      </c>
      <c r="K66" s="3" t="s">
        <v>475</v>
      </c>
      <c r="L66" s="3" t="n">
        <v>9</v>
      </c>
    </row>
    <row r="67" customFormat="false" ht="32.8" hidden="false" customHeight="false" outlineLevel="0" collapsed="false">
      <c r="A67" s="4" t="n">
        <v>66</v>
      </c>
      <c r="B67" s="4" t="s">
        <v>14</v>
      </c>
      <c r="C67" s="4" t="s">
        <v>476</v>
      </c>
      <c r="D67" s="4" t="s">
        <v>14</v>
      </c>
      <c r="E67" s="4" t="s">
        <v>371</v>
      </c>
      <c r="F67" s="4" t="s">
        <v>477</v>
      </c>
      <c r="G67" s="4" t="s">
        <v>478</v>
      </c>
      <c r="H67" s="4" t="s">
        <v>479</v>
      </c>
      <c r="I67" s="4" t="s">
        <v>480</v>
      </c>
      <c r="J67" s="4" t="s">
        <v>481</v>
      </c>
      <c r="K67" s="4" t="s">
        <v>482</v>
      </c>
      <c r="L67" s="4" t="n">
        <v>10</v>
      </c>
    </row>
    <row r="68" customFormat="false" ht="32.8" hidden="false" customHeight="false" outlineLevel="0" collapsed="false">
      <c r="A68" s="3" t="n">
        <v>67</v>
      </c>
      <c r="B68" s="3" t="s">
        <v>14</v>
      </c>
      <c r="C68" s="3" t="s">
        <v>483</v>
      </c>
      <c r="D68" s="3" t="s">
        <v>99</v>
      </c>
      <c r="E68" s="3" t="s">
        <v>371</v>
      </c>
      <c r="F68" s="3" t="s">
        <v>484</v>
      </c>
      <c r="G68" s="3" t="s">
        <v>485</v>
      </c>
      <c r="H68" s="3" t="s">
        <v>486</v>
      </c>
      <c r="I68" s="3" t="s">
        <v>487</v>
      </c>
      <c r="J68" s="3" t="s">
        <v>488</v>
      </c>
      <c r="K68" s="3" t="s">
        <v>489</v>
      </c>
      <c r="L68" s="3" t="n">
        <v>8</v>
      </c>
    </row>
    <row r="69" customFormat="false" ht="32.8" hidden="false" customHeight="false" outlineLevel="0" collapsed="false">
      <c r="A69" s="4" t="n">
        <v>68</v>
      </c>
      <c r="B69" s="4" t="s">
        <v>14</v>
      </c>
      <c r="C69" s="4" t="s">
        <v>490</v>
      </c>
      <c r="D69" s="4" t="s">
        <v>99</v>
      </c>
      <c r="E69" s="4" t="s">
        <v>371</v>
      </c>
      <c r="F69" s="4" t="s">
        <v>491</v>
      </c>
      <c r="G69" s="4" t="s">
        <v>492</v>
      </c>
      <c r="H69" s="4" t="s">
        <v>493</v>
      </c>
      <c r="I69" s="4" t="s">
        <v>494</v>
      </c>
      <c r="J69" s="4" t="s">
        <v>495</v>
      </c>
      <c r="K69" s="4" t="s">
        <v>496</v>
      </c>
      <c r="L69" s="4" t="n">
        <v>9</v>
      </c>
    </row>
    <row r="70" customFormat="false" ht="32.8" hidden="false" customHeight="false" outlineLevel="0" collapsed="false">
      <c r="A70" s="3" t="n">
        <v>69</v>
      </c>
      <c r="B70" s="3" t="s">
        <v>14</v>
      </c>
      <c r="C70" s="3" t="s">
        <v>497</v>
      </c>
      <c r="D70" s="3" t="s">
        <v>14</v>
      </c>
      <c r="E70" s="3" t="s">
        <v>371</v>
      </c>
      <c r="F70" s="3" t="s">
        <v>498</v>
      </c>
      <c r="G70" s="3" t="s">
        <v>499</v>
      </c>
      <c r="H70" s="3" t="s">
        <v>500</v>
      </c>
      <c r="I70" s="3" t="s">
        <v>501</v>
      </c>
      <c r="J70" s="3" t="s">
        <v>502</v>
      </c>
      <c r="K70" s="3" t="s">
        <v>503</v>
      </c>
      <c r="L70" s="3" t="n">
        <v>8</v>
      </c>
    </row>
    <row r="71" customFormat="false" ht="32.8" hidden="false" customHeight="false" outlineLevel="0" collapsed="false">
      <c r="A71" s="4" t="n">
        <v>70</v>
      </c>
      <c r="B71" s="4" t="s">
        <v>14</v>
      </c>
      <c r="C71" s="4" t="s">
        <v>504</v>
      </c>
      <c r="D71" s="4" t="s">
        <v>14</v>
      </c>
      <c r="E71" s="4" t="s">
        <v>371</v>
      </c>
      <c r="F71" s="4" t="s">
        <v>505</v>
      </c>
      <c r="G71" s="4" t="s">
        <v>506</v>
      </c>
      <c r="H71" s="4" t="s">
        <v>507</v>
      </c>
      <c r="I71" s="4" t="s">
        <v>508</v>
      </c>
      <c r="J71" s="4" t="s">
        <v>509</v>
      </c>
      <c r="K71" s="4" t="s">
        <v>510</v>
      </c>
      <c r="L71" s="4" t="n">
        <v>10</v>
      </c>
    </row>
    <row r="72" customFormat="false" ht="32.8" hidden="false" customHeight="false" outlineLevel="0" collapsed="false">
      <c r="A72" s="3" t="n">
        <v>71</v>
      </c>
      <c r="B72" s="3" t="s">
        <v>14</v>
      </c>
      <c r="C72" s="3" t="s">
        <v>511</v>
      </c>
      <c r="D72" s="3" t="s">
        <v>99</v>
      </c>
      <c r="E72" s="3" t="s">
        <v>512</v>
      </c>
      <c r="F72" s="3" t="s">
        <v>513</v>
      </c>
      <c r="G72" s="3" t="s">
        <v>514</v>
      </c>
      <c r="H72" s="3" t="s">
        <v>515</v>
      </c>
      <c r="I72" s="3" t="s">
        <v>516</v>
      </c>
      <c r="J72" s="3" t="s">
        <v>517</v>
      </c>
      <c r="K72" s="3" t="s">
        <v>518</v>
      </c>
      <c r="L72" s="3" t="n">
        <v>8</v>
      </c>
    </row>
    <row r="73" customFormat="false" ht="32.8" hidden="false" customHeight="false" outlineLevel="0" collapsed="false">
      <c r="A73" s="4" t="n">
        <v>72</v>
      </c>
      <c r="B73" s="4" t="s">
        <v>14</v>
      </c>
      <c r="C73" s="4" t="s">
        <v>519</v>
      </c>
      <c r="D73" s="4" t="s">
        <v>99</v>
      </c>
      <c r="E73" s="4" t="s">
        <v>512</v>
      </c>
      <c r="F73" s="4" t="s">
        <v>520</v>
      </c>
      <c r="G73" s="4" t="s">
        <v>521</v>
      </c>
      <c r="H73" s="4" t="s">
        <v>522</v>
      </c>
      <c r="I73" s="4" t="s">
        <v>523</v>
      </c>
      <c r="J73" s="4" t="s">
        <v>524</v>
      </c>
      <c r="K73" s="4" t="s">
        <v>525</v>
      </c>
      <c r="L73" s="4" t="n">
        <v>9</v>
      </c>
    </row>
    <row r="74" customFormat="false" ht="22.35" hidden="false" customHeight="false" outlineLevel="0" collapsed="false">
      <c r="A74" s="3" t="n">
        <v>73</v>
      </c>
      <c r="B74" s="3" t="s">
        <v>14</v>
      </c>
      <c r="C74" s="3" t="s">
        <v>526</v>
      </c>
      <c r="D74" s="3" t="s">
        <v>14</v>
      </c>
      <c r="E74" s="3" t="s">
        <v>512</v>
      </c>
      <c r="F74" s="3" t="s">
        <v>527</v>
      </c>
      <c r="G74" s="3" t="s">
        <v>528</v>
      </c>
      <c r="H74" s="3" t="s">
        <v>529</v>
      </c>
      <c r="I74" s="3" t="s">
        <v>530</v>
      </c>
      <c r="J74" s="3" t="s">
        <v>531</v>
      </c>
      <c r="K74" s="3" t="s">
        <v>532</v>
      </c>
      <c r="L74" s="3" t="n">
        <v>8</v>
      </c>
    </row>
    <row r="75" customFormat="false" ht="32.8" hidden="false" customHeight="false" outlineLevel="0" collapsed="false">
      <c r="A75" s="4" t="n">
        <v>74</v>
      </c>
      <c r="B75" s="4" t="s">
        <v>14</v>
      </c>
      <c r="C75" s="4" t="s">
        <v>533</v>
      </c>
      <c r="D75" s="4" t="s">
        <v>99</v>
      </c>
      <c r="E75" s="4" t="s">
        <v>512</v>
      </c>
      <c r="F75" s="4" t="s">
        <v>534</v>
      </c>
      <c r="G75" s="4" t="s">
        <v>535</v>
      </c>
      <c r="H75" s="4" t="s">
        <v>536</v>
      </c>
      <c r="I75" s="4" t="s">
        <v>537</v>
      </c>
      <c r="J75" s="4" t="s">
        <v>538</v>
      </c>
      <c r="K75" s="4" t="s">
        <v>539</v>
      </c>
      <c r="L75" s="4" t="n">
        <v>9</v>
      </c>
    </row>
    <row r="76" customFormat="false" ht="32.8" hidden="false" customHeight="false" outlineLevel="0" collapsed="false">
      <c r="A76" s="3" t="n">
        <v>75</v>
      </c>
      <c r="B76" s="3" t="s">
        <v>14</v>
      </c>
      <c r="C76" s="3" t="s">
        <v>540</v>
      </c>
      <c r="D76" s="3" t="s">
        <v>14</v>
      </c>
      <c r="E76" s="3" t="s">
        <v>512</v>
      </c>
      <c r="F76" s="3" t="s">
        <v>541</v>
      </c>
      <c r="G76" s="3" t="s">
        <v>542</v>
      </c>
      <c r="H76" s="3" t="s">
        <v>543</v>
      </c>
      <c r="I76" s="3" t="s">
        <v>544</v>
      </c>
      <c r="J76" s="3" t="s">
        <v>545</v>
      </c>
      <c r="K76" s="3" t="s">
        <v>546</v>
      </c>
      <c r="L76" s="3" t="n">
        <v>9</v>
      </c>
    </row>
    <row r="77" customFormat="false" ht="32.8" hidden="false" customHeight="false" outlineLevel="0" collapsed="false">
      <c r="A77" s="4" t="n">
        <v>76</v>
      </c>
      <c r="B77" s="4" t="s">
        <v>14</v>
      </c>
      <c r="C77" s="4" t="s">
        <v>547</v>
      </c>
      <c r="D77" s="4" t="s">
        <v>14</v>
      </c>
      <c r="E77" s="4" t="s">
        <v>512</v>
      </c>
      <c r="F77" s="4" t="s">
        <v>548</v>
      </c>
      <c r="G77" s="4" t="s">
        <v>549</v>
      </c>
      <c r="H77" s="4" t="s">
        <v>550</v>
      </c>
      <c r="I77" s="4" t="s">
        <v>551</v>
      </c>
      <c r="J77" s="4" t="s">
        <v>552</v>
      </c>
      <c r="K77" s="4" t="s">
        <v>281</v>
      </c>
      <c r="L77" s="4" t="n">
        <v>8</v>
      </c>
    </row>
    <row r="78" customFormat="false" ht="32.8" hidden="false" customHeight="false" outlineLevel="0" collapsed="false">
      <c r="A78" s="3" t="n">
        <v>77</v>
      </c>
      <c r="B78" s="3" t="s">
        <v>14</v>
      </c>
      <c r="C78" s="3" t="s">
        <v>553</v>
      </c>
      <c r="D78" s="3" t="s">
        <v>99</v>
      </c>
      <c r="E78" s="3" t="s">
        <v>512</v>
      </c>
      <c r="F78" s="3" t="s">
        <v>554</v>
      </c>
      <c r="G78" s="3" t="s">
        <v>555</v>
      </c>
      <c r="H78" s="3" t="s">
        <v>556</v>
      </c>
      <c r="I78" s="3" t="s">
        <v>557</v>
      </c>
      <c r="J78" s="3" t="s">
        <v>558</v>
      </c>
      <c r="K78" s="3" t="s">
        <v>559</v>
      </c>
      <c r="L78" s="3" t="n">
        <v>8</v>
      </c>
    </row>
    <row r="79" customFormat="false" ht="32.8" hidden="false" customHeight="false" outlineLevel="0" collapsed="false">
      <c r="A79" s="4" t="n">
        <v>78</v>
      </c>
      <c r="B79" s="4" t="s">
        <v>14</v>
      </c>
      <c r="C79" s="4" t="s">
        <v>560</v>
      </c>
      <c r="D79" s="4" t="s">
        <v>99</v>
      </c>
      <c r="E79" s="4" t="s">
        <v>512</v>
      </c>
      <c r="F79" s="4" t="s">
        <v>561</v>
      </c>
      <c r="G79" s="4" t="s">
        <v>562</v>
      </c>
      <c r="H79" s="4" t="s">
        <v>563</v>
      </c>
      <c r="I79" s="4" t="s">
        <v>564</v>
      </c>
      <c r="J79" s="4" t="s">
        <v>565</v>
      </c>
      <c r="K79" s="4" t="s">
        <v>37</v>
      </c>
      <c r="L79" s="4" t="n">
        <v>9</v>
      </c>
    </row>
    <row r="80" customFormat="false" ht="32.8" hidden="false" customHeight="false" outlineLevel="0" collapsed="false">
      <c r="A80" s="3" t="n">
        <v>79</v>
      </c>
      <c r="B80" s="3" t="s">
        <v>14</v>
      </c>
      <c r="C80" s="3" t="s">
        <v>566</v>
      </c>
      <c r="D80" s="3" t="s">
        <v>234</v>
      </c>
      <c r="E80" s="3" t="s">
        <v>512</v>
      </c>
      <c r="F80" s="3" t="s">
        <v>567</v>
      </c>
      <c r="G80" s="3" t="s">
        <v>568</v>
      </c>
      <c r="H80" s="3" t="s">
        <v>569</v>
      </c>
      <c r="I80" s="3" t="s">
        <v>570</v>
      </c>
      <c r="J80" s="3" t="s">
        <v>571</v>
      </c>
      <c r="K80" s="3" t="s">
        <v>572</v>
      </c>
      <c r="L80" s="3" t="n">
        <v>9</v>
      </c>
    </row>
    <row r="81" customFormat="false" ht="32.8" hidden="false" customHeight="false" outlineLevel="0" collapsed="false">
      <c r="A81" s="4" t="n">
        <v>80</v>
      </c>
      <c r="B81" s="4" t="s">
        <v>14</v>
      </c>
      <c r="C81" s="4" t="s">
        <v>573</v>
      </c>
      <c r="D81" s="4" t="s">
        <v>14</v>
      </c>
      <c r="E81" s="4" t="s">
        <v>512</v>
      </c>
      <c r="F81" s="4" t="s">
        <v>574</v>
      </c>
      <c r="G81" s="4" t="s">
        <v>575</v>
      </c>
      <c r="H81" s="4" t="s">
        <v>576</v>
      </c>
      <c r="I81" s="4" t="s">
        <v>577</v>
      </c>
      <c r="J81" s="4" t="s">
        <v>578</v>
      </c>
      <c r="K81" s="4" t="s">
        <v>579</v>
      </c>
      <c r="L81" s="4" t="n">
        <v>10</v>
      </c>
    </row>
    <row r="82" customFormat="false" ht="32.8" hidden="false" customHeight="false" outlineLevel="0" collapsed="false">
      <c r="A82" s="3" t="n">
        <v>81</v>
      </c>
      <c r="B82" s="3" t="s">
        <v>14</v>
      </c>
      <c r="C82" s="3" t="s">
        <v>580</v>
      </c>
      <c r="D82" s="3" t="s">
        <v>99</v>
      </c>
      <c r="E82" s="3" t="s">
        <v>512</v>
      </c>
      <c r="F82" s="3" t="s">
        <v>581</v>
      </c>
      <c r="G82" s="3" t="s">
        <v>582</v>
      </c>
      <c r="H82" s="3" t="s">
        <v>583</v>
      </c>
      <c r="I82" s="3" t="s">
        <v>584</v>
      </c>
      <c r="J82" s="3" t="s">
        <v>585</v>
      </c>
      <c r="K82" s="3" t="s">
        <v>586</v>
      </c>
      <c r="L82" s="3" t="n">
        <v>9</v>
      </c>
    </row>
    <row r="83" customFormat="false" ht="32.8" hidden="false" customHeight="false" outlineLevel="0" collapsed="false">
      <c r="A83" s="4" t="n">
        <v>82</v>
      </c>
      <c r="B83" s="4" t="s">
        <v>14</v>
      </c>
      <c r="C83" s="4" t="s">
        <v>587</v>
      </c>
      <c r="D83" s="4" t="s">
        <v>14</v>
      </c>
      <c r="E83" s="4" t="s">
        <v>512</v>
      </c>
      <c r="F83" s="4" t="s">
        <v>588</v>
      </c>
      <c r="G83" s="4" t="s">
        <v>589</v>
      </c>
      <c r="H83" s="4" t="s">
        <v>590</v>
      </c>
      <c r="I83" s="4" t="s">
        <v>591</v>
      </c>
      <c r="J83" s="4" t="s">
        <v>592</v>
      </c>
      <c r="K83" s="4" t="s">
        <v>593</v>
      </c>
      <c r="L83" s="4" t="n">
        <v>10</v>
      </c>
    </row>
    <row r="84" customFormat="false" ht="32.8" hidden="false" customHeight="false" outlineLevel="0" collapsed="false">
      <c r="A84" s="3" t="n">
        <v>83</v>
      </c>
      <c r="B84" s="3" t="s">
        <v>14</v>
      </c>
      <c r="C84" s="3" t="s">
        <v>594</v>
      </c>
      <c r="D84" s="3" t="s">
        <v>14</v>
      </c>
      <c r="E84" s="3" t="s">
        <v>512</v>
      </c>
      <c r="F84" s="3" t="s">
        <v>595</v>
      </c>
      <c r="G84" s="3" t="s">
        <v>596</v>
      </c>
      <c r="H84" s="3" t="s">
        <v>597</v>
      </c>
      <c r="I84" s="3" t="s">
        <v>598</v>
      </c>
      <c r="J84" s="3" t="s">
        <v>599</v>
      </c>
      <c r="K84" s="3" t="s">
        <v>433</v>
      </c>
      <c r="L84" s="3" t="n">
        <v>8</v>
      </c>
    </row>
    <row r="85" customFormat="false" ht="32.8" hidden="false" customHeight="false" outlineLevel="0" collapsed="false">
      <c r="A85" s="4" t="n">
        <v>84</v>
      </c>
      <c r="B85" s="4" t="s">
        <v>14</v>
      </c>
      <c r="C85" s="4" t="s">
        <v>600</v>
      </c>
      <c r="D85" s="4" t="s">
        <v>99</v>
      </c>
      <c r="E85" s="4" t="s">
        <v>512</v>
      </c>
      <c r="F85" s="4" t="s">
        <v>601</v>
      </c>
      <c r="G85" s="4" t="s">
        <v>602</v>
      </c>
      <c r="H85" s="4" t="s">
        <v>603</v>
      </c>
      <c r="I85" s="4" t="s">
        <v>604</v>
      </c>
      <c r="J85" s="4" t="s">
        <v>605</v>
      </c>
      <c r="K85" s="4" t="s">
        <v>606</v>
      </c>
      <c r="L85" s="4" t="n">
        <v>10</v>
      </c>
    </row>
    <row r="86" customFormat="false" ht="22.35" hidden="false" customHeight="false" outlineLevel="0" collapsed="false">
      <c r="A86" s="3" t="n">
        <v>85</v>
      </c>
      <c r="B86" s="3" t="s">
        <v>14</v>
      </c>
      <c r="C86" s="3" t="s">
        <v>607</v>
      </c>
      <c r="D86" s="3" t="s">
        <v>234</v>
      </c>
      <c r="E86" s="3" t="s">
        <v>512</v>
      </c>
      <c r="F86" s="3" t="s">
        <v>608</v>
      </c>
      <c r="G86" s="3" t="s">
        <v>609</v>
      </c>
      <c r="H86" s="3" t="s">
        <v>610</v>
      </c>
      <c r="I86" s="3" t="s">
        <v>611</v>
      </c>
      <c r="J86" s="3" t="s">
        <v>612</v>
      </c>
      <c r="K86" s="3" t="s">
        <v>240</v>
      </c>
      <c r="L86" s="3" t="n">
        <v>9</v>
      </c>
    </row>
    <row r="87" customFormat="false" ht="32.8" hidden="false" customHeight="false" outlineLevel="0" collapsed="false">
      <c r="A87" s="4" t="n">
        <v>86</v>
      </c>
      <c r="B87" s="4" t="s">
        <v>14</v>
      </c>
      <c r="C87" s="4" t="s">
        <v>613</v>
      </c>
      <c r="D87" s="4" t="s">
        <v>99</v>
      </c>
      <c r="E87" s="4" t="s">
        <v>614</v>
      </c>
      <c r="F87" s="4" t="s">
        <v>615</v>
      </c>
      <c r="G87" s="4" t="s">
        <v>616</v>
      </c>
      <c r="H87" s="4" t="s">
        <v>617</v>
      </c>
      <c r="I87" s="4" t="s">
        <v>618</v>
      </c>
      <c r="J87" s="4" t="s">
        <v>619</v>
      </c>
      <c r="K87" s="4" t="s">
        <v>620</v>
      </c>
      <c r="L87" s="4" t="n">
        <v>9</v>
      </c>
    </row>
    <row r="88" customFormat="false" ht="32.8" hidden="false" customHeight="false" outlineLevel="0" collapsed="false">
      <c r="A88" s="3" t="n">
        <v>87</v>
      </c>
      <c r="B88" s="3" t="s">
        <v>14</v>
      </c>
      <c r="C88" s="3" t="s">
        <v>621</v>
      </c>
      <c r="D88" s="3" t="s">
        <v>99</v>
      </c>
      <c r="E88" s="3" t="s">
        <v>614</v>
      </c>
      <c r="F88" s="3" t="s">
        <v>622</v>
      </c>
      <c r="G88" s="3" t="s">
        <v>623</v>
      </c>
      <c r="H88" s="3" t="s">
        <v>624</v>
      </c>
      <c r="I88" s="3" t="s">
        <v>625</v>
      </c>
      <c r="J88" s="3" t="s">
        <v>626</v>
      </c>
      <c r="K88" s="3" t="s">
        <v>627</v>
      </c>
      <c r="L88" s="3" t="n">
        <v>9</v>
      </c>
    </row>
    <row r="89" customFormat="false" ht="32.8" hidden="false" customHeight="false" outlineLevel="0" collapsed="false">
      <c r="A89" s="4" t="n">
        <v>88</v>
      </c>
      <c r="B89" s="4" t="s">
        <v>14</v>
      </c>
      <c r="C89" s="4" t="s">
        <v>628</v>
      </c>
      <c r="D89" s="4" t="s">
        <v>99</v>
      </c>
      <c r="E89" s="4" t="s">
        <v>614</v>
      </c>
      <c r="F89" s="4" t="s">
        <v>629</v>
      </c>
      <c r="G89" s="4" t="s">
        <v>630</v>
      </c>
      <c r="H89" s="4" t="s">
        <v>631</v>
      </c>
      <c r="I89" s="4" t="s">
        <v>632</v>
      </c>
      <c r="J89" s="4" t="s">
        <v>633</v>
      </c>
      <c r="K89" s="4" t="s">
        <v>634</v>
      </c>
      <c r="L89" s="4" t="n">
        <v>10</v>
      </c>
    </row>
    <row r="90" customFormat="false" ht="32.8" hidden="false" customHeight="false" outlineLevel="0" collapsed="false">
      <c r="A90" s="3" t="n">
        <v>89</v>
      </c>
      <c r="B90" s="3" t="s">
        <v>14</v>
      </c>
      <c r="C90" s="3" t="s">
        <v>635</v>
      </c>
      <c r="D90" s="3" t="s">
        <v>99</v>
      </c>
      <c r="E90" s="3" t="s">
        <v>614</v>
      </c>
      <c r="F90" s="3" t="s">
        <v>636</v>
      </c>
      <c r="G90" s="3" t="s">
        <v>637</v>
      </c>
      <c r="H90" s="3" t="s">
        <v>638</v>
      </c>
      <c r="I90" s="3" t="s">
        <v>639</v>
      </c>
      <c r="J90" s="3" t="s">
        <v>640</v>
      </c>
      <c r="K90" s="3" t="s">
        <v>641</v>
      </c>
      <c r="L90" s="3" t="n">
        <v>9</v>
      </c>
    </row>
    <row r="91" customFormat="false" ht="32.8" hidden="false" customHeight="false" outlineLevel="0" collapsed="false">
      <c r="A91" s="4" t="n">
        <v>90</v>
      </c>
      <c r="B91" s="4" t="s">
        <v>14</v>
      </c>
      <c r="C91" s="4" t="s">
        <v>642</v>
      </c>
      <c r="D91" s="4" t="s">
        <v>99</v>
      </c>
      <c r="E91" s="4" t="s">
        <v>614</v>
      </c>
      <c r="F91" s="4" t="s">
        <v>643</v>
      </c>
      <c r="G91" s="4" t="s">
        <v>644</v>
      </c>
      <c r="H91" s="4" t="s">
        <v>645</v>
      </c>
      <c r="I91" s="4" t="s">
        <v>646</v>
      </c>
      <c r="J91" s="4" t="s">
        <v>647</v>
      </c>
      <c r="K91" s="4" t="s">
        <v>648</v>
      </c>
      <c r="L91" s="4" t="n">
        <v>9</v>
      </c>
    </row>
    <row r="92" customFormat="false" ht="32.8" hidden="false" customHeight="false" outlineLevel="0" collapsed="false">
      <c r="A92" s="3" t="n">
        <v>91</v>
      </c>
      <c r="B92" s="3" t="s">
        <v>14</v>
      </c>
      <c r="C92" s="3" t="s">
        <v>649</v>
      </c>
      <c r="D92" s="3" t="s">
        <v>14</v>
      </c>
      <c r="E92" s="3" t="s">
        <v>614</v>
      </c>
      <c r="F92" s="3" t="s">
        <v>650</v>
      </c>
      <c r="G92" s="3" t="s">
        <v>651</v>
      </c>
      <c r="H92" s="3" t="s">
        <v>652</v>
      </c>
      <c r="I92" s="3" t="s">
        <v>653</v>
      </c>
      <c r="J92" s="3" t="s">
        <v>654</v>
      </c>
      <c r="K92" s="3" t="s">
        <v>655</v>
      </c>
      <c r="L92" s="3" t="n">
        <v>10</v>
      </c>
    </row>
    <row r="93" customFormat="false" ht="32.8" hidden="false" customHeight="false" outlineLevel="0" collapsed="false">
      <c r="A93" s="4" t="n">
        <v>92</v>
      </c>
      <c r="B93" s="4" t="s">
        <v>14</v>
      </c>
      <c r="C93" s="4" t="s">
        <v>656</v>
      </c>
      <c r="D93" s="4" t="s">
        <v>99</v>
      </c>
      <c r="E93" s="4" t="s">
        <v>614</v>
      </c>
      <c r="F93" s="4" t="s">
        <v>657</v>
      </c>
      <c r="G93" s="4" t="s">
        <v>658</v>
      </c>
      <c r="H93" s="4" t="s">
        <v>624</v>
      </c>
      <c r="I93" s="4" t="s">
        <v>659</v>
      </c>
      <c r="J93" s="4" t="s">
        <v>660</v>
      </c>
      <c r="K93" s="4" t="s">
        <v>661</v>
      </c>
      <c r="L93" s="4" t="n">
        <v>10</v>
      </c>
    </row>
    <row r="94" customFormat="false" ht="22.35" hidden="false" customHeight="false" outlineLevel="0" collapsed="false">
      <c r="A94" s="3" t="n">
        <v>93</v>
      </c>
      <c r="B94" s="3" t="s">
        <v>14</v>
      </c>
      <c r="C94" s="3" t="s">
        <v>662</v>
      </c>
      <c r="D94" s="3" t="s">
        <v>14</v>
      </c>
      <c r="E94" s="3" t="s">
        <v>614</v>
      </c>
      <c r="F94" s="3" t="s">
        <v>663</v>
      </c>
      <c r="G94" s="3" t="s">
        <v>664</v>
      </c>
      <c r="H94" s="3" t="s">
        <v>665</v>
      </c>
      <c r="I94" s="3" t="s">
        <v>666</v>
      </c>
      <c r="J94" s="3" t="s">
        <v>667</v>
      </c>
      <c r="K94" s="3" t="s">
        <v>668</v>
      </c>
      <c r="L94" s="3" t="n">
        <v>8</v>
      </c>
    </row>
    <row r="95" customFormat="false" ht="32.8" hidden="false" customHeight="false" outlineLevel="0" collapsed="false">
      <c r="A95" s="4" t="n">
        <v>94</v>
      </c>
      <c r="B95" s="4" t="s">
        <v>14</v>
      </c>
      <c r="C95" s="4" t="s">
        <v>669</v>
      </c>
      <c r="D95" s="4" t="s">
        <v>99</v>
      </c>
      <c r="E95" s="4" t="s">
        <v>614</v>
      </c>
      <c r="F95" s="4" t="s">
        <v>670</v>
      </c>
      <c r="G95" s="4" t="s">
        <v>671</v>
      </c>
      <c r="H95" s="4" t="s">
        <v>672</v>
      </c>
      <c r="I95" s="4" t="s">
        <v>673</v>
      </c>
      <c r="J95" s="4" t="s">
        <v>674</v>
      </c>
      <c r="K95" s="4" t="s">
        <v>675</v>
      </c>
      <c r="L95" s="4" t="n">
        <v>9</v>
      </c>
    </row>
    <row r="96" customFormat="false" ht="22.35" hidden="false" customHeight="false" outlineLevel="0" collapsed="false">
      <c r="A96" s="3" t="n">
        <v>95</v>
      </c>
      <c r="B96" s="3" t="s">
        <v>14</v>
      </c>
      <c r="C96" s="3" t="s">
        <v>676</v>
      </c>
      <c r="D96" s="3" t="s">
        <v>99</v>
      </c>
      <c r="E96" s="3" t="s">
        <v>614</v>
      </c>
      <c r="F96" s="3" t="s">
        <v>677</v>
      </c>
      <c r="G96" s="3" t="s">
        <v>678</v>
      </c>
      <c r="H96" s="3" t="s">
        <v>679</v>
      </c>
      <c r="I96" s="3" t="s">
        <v>680</v>
      </c>
      <c r="J96" s="3" t="s">
        <v>681</v>
      </c>
      <c r="K96" s="3" t="s">
        <v>682</v>
      </c>
      <c r="L96" s="3" t="n">
        <v>8</v>
      </c>
    </row>
    <row r="97" customFormat="false" ht="32.8" hidden="false" customHeight="false" outlineLevel="0" collapsed="false">
      <c r="A97" s="4" t="n">
        <v>96</v>
      </c>
      <c r="B97" s="4" t="s">
        <v>14</v>
      </c>
      <c r="C97" s="4" t="s">
        <v>683</v>
      </c>
      <c r="D97" s="4" t="s">
        <v>14</v>
      </c>
      <c r="E97" s="4" t="s">
        <v>614</v>
      </c>
      <c r="F97" s="4" t="s">
        <v>684</v>
      </c>
      <c r="G97" s="4" t="s">
        <v>685</v>
      </c>
      <c r="H97" s="4" t="s">
        <v>686</v>
      </c>
      <c r="I97" s="4" t="s">
        <v>687</v>
      </c>
      <c r="J97" s="4" t="s">
        <v>688</v>
      </c>
      <c r="K97" s="4" t="s">
        <v>689</v>
      </c>
      <c r="L97" s="4" t="n">
        <v>10</v>
      </c>
    </row>
    <row r="98" customFormat="false" ht="32.8" hidden="false" customHeight="false" outlineLevel="0" collapsed="false">
      <c r="A98" s="3" t="n">
        <v>97</v>
      </c>
      <c r="B98" s="3" t="s">
        <v>14</v>
      </c>
      <c r="C98" s="3" t="s">
        <v>690</v>
      </c>
      <c r="D98" s="3" t="s">
        <v>14</v>
      </c>
      <c r="E98" s="3" t="s">
        <v>614</v>
      </c>
      <c r="F98" s="3" t="s">
        <v>691</v>
      </c>
      <c r="G98" s="3" t="s">
        <v>692</v>
      </c>
      <c r="H98" s="3" t="s">
        <v>693</v>
      </c>
      <c r="I98" s="3" t="s">
        <v>694</v>
      </c>
      <c r="J98" s="3" t="s">
        <v>695</v>
      </c>
      <c r="K98" s="3" t="s">
        <v>696</v>
      </c>
      <c r="L98" s="3" t="n">
        <v>9</v>
      </c>
    </row>
    <row r="99" customFormat="false" ht="32.8" hidden="false" customHeight="false" outlineLevel="0" collapsed="false">
      <c r="A99" s="4" t="n">
        <v>98</v>
      </c>
      <c r="B99" s="4" t="s">
        <v>14</v>
      </c>
      <c r="C99" s="4" t="s">
        <v>697</v>
      </c>
      <c r="D99" s="4" t="s">
        <v>14</v>
      </c>
      <c r="E99" s="4" t="s">
        <v>614</v>
      </c>
      <c r="F99" s="4" t="s">
        <v>698</v>
      </c>
      <c r="G99" s="4" t="s">
        <v>699</v>
      </c>
      <c r="H99" s="4" t="s">
        <v>700</v>
      </c>
      <c r="I99" s="4" t="s">
        <v>701</v>
      </c>
      <c r="J99" s="4" t="s">
        <v>702</v>
      </c>
      <c r="K99" s="4" t="s">
        <v>703</v>
      </c>
      <c r="L99" s="4" t="n">
        <v>10</v>
      </c>
    </row>
    <row r="100" customFormat="false" ht="32.8" hidden="false" customHeight="false" outlineLevel="0" collapsed="false">
      <c r="A100" s="3" t="n">
        <v>99</v>
      </c>
      <c r="B100" s="3" t="s">
        <v>14</v>
      </c>
      <c r="C100" s="3" t="s">
        <v>704</v>
      </c>
      <c r="D100" s="3" t="s">
        <v>14</v>
      </c>
      <c r="E100" s="3" t="s">
        <v>614</v>
      </c>
      <c r="F100" s="3" t="s">
        <v>705</v>
      </c>
      <c r="G100" s="3" t="s">
        <v>706</v>
      </c>
      <c r="H100" s="3" t="s">
        <v>707</v>
      </c>
      <c r="I100" s="3" t="s">
        <v>708</v>
      </c>
      <c r="J100" s="3" t="s">
        <v>709</v>
      </c>
      <c r="K100" s="3" t="s">
        <v>710</v>
      </c>
      <c r="L100" s="3" t="n">
        <v>9</v>
      </c>
    </row>
    <row r="101" customFormat="false" ht="32.8" hidden="false" customHeight="false" outlineLevel="0" collapsed="false">
      <c r="A101" s="4" t="n">
        <v>100</v>
      </c>
      <c r="B101" s="4" t="s">
        <v>14</v>
      </c>
      <c r="C101" s="4" t="s">
        <v>711</v>
      </c>
      <c r="D101" s="4" t="s">
        <v>712</v>
      </c>
      <c r="E101" s="4" t="s">
        <v>614</v>
      </c>
      <c r="F101" s="4" t="s">
        <v>713</v>
      </c>
      <c r="G101" s="4" t="s">
        <v>714</v>
      </c>
      <c r="H101" s="4" t="s">
        <v>715</v>
      </c>
      <c r="I101" s="4" t="s">
        <v>716</v>
      </c>
      <c r="J101" s="4" t="s">
        <v>717</v>
      </c>
      <c r="K101" s="4" t="s">
        <v>718</v>
      </c>
      <c r="L101" s="4" t="n">
        <v>8</v>
      </c>
    </row>
  </sheetData>
  <autoFilter ref="A1:L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45"/>
    <col collapsed="false" customWidth="true" hidden="false" outlineLevel="0" max="7" min="7" style="0" width="8"/>
    <col collapsed="false" customWidth="true" hidden="false" outlineLevel="0" max="8" min="8" style="0" width="55"/>
    <col collapsed="false" customWidth="true" hidden="false" outlineLevel="0" max="9" min="9" style="0" width="45"/>
    <col collapsed="false" customWidth="true" hidden="false" outlineLevel="0" max="10" min="10" style="0" width="55"/>
  </cols>
  <sheetData>
    <row r="1" customFormat="false" ht="34.5" hidden="false" customHeight="true" outlineLevel="0" collapsed="false">
      <c r="A1" s="5" t="s">
        <v>719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720</v>
      </c>
      <c r="G1" s="5" t="s">
        <v>721</v>
      </c>
      <c r="H1" s="5" t="s">
        <v>722</v>
      </c>
      <c r="I1" s="5" t="s">
        <v>723</v>
      </c>
      <c r="J1" s="5" t="s">
        <v>724</v>
      </c>
    </row>
    <row r="2" customFormat="false" ht="22.35" hidden="false" customHeight="false" outlineLevel="0" collapsed="false">
      <c r="A2" s="3" t="n">
        <v>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725</v>
      </c>
      <c r="G2" s="3" t="n">
        <v>10</v>
      </c>
      <c r="H2" s="3" t="s">
        <v>726</v>
      </c>
      <c r="I2" s="3" t="s">
        <v>727</v>
      </c>
      <c r="J2" s="3" t="s">
        <v>728</v>
      </c>
    </row>
    <row r="3" customFormat="false" ht="32.8" hidden="false" customHeight="false" outlineLevel="0" collapsed="false">
      <c r="A3" s="4" t="n">
        <v>2</v>
      </c>
      <c r="B3" s="4" t="s">
        <v>22</v>
      </c>
      <c r="C3" s="4" t="s">
        <v>23</v>
      </c>
      <c r="D3" s="4" t="s">
        <v>24</v>
      </c>
      <c r="E3" s="4" t="s">
        <v>15</v>
      </c>
      <c r="F3" s="4" t="s">
        <v>729</v>
      </c>
      <c r="G3" s="4" t="n">
        <v>10</v>
      </c>
      <c r="H3" s="4" t="s">
        <v>730</v>
      </c>
      <c r="I3" s="4" t="s">
        <v>731</v>
      </c>
      <c r="J3" s="4" t="s">
        <v>732</v>
      </c>
    </row>
    <row r="4" customFormat="false" ht="32.8" hidden="false" customHeight="false" outlineLevel="0" collapsed="false">
      <c r="A4" s="3" t="n">
        <v>3</v>
      </c>
      <c r="B4" s="3" t="s">
        <v>31</v>
      </c>
      <c r="C4" s="3" t="s">
        <v>32</v>
      </c>
      <c r="D4" s="3" t="s">
        <v>14</v>
      </c>
      <c r="E4" s="3" t="s">
        <v>15</v>
      </c>
      <c r="F4" s="3" t="s">
        <v>733</v>
      </c>
      <c r="G4" s="3" t="n">
        <v>10</v>
      </c>
      <c r="H4" s="3" t="s">
        <v>734</v>
      </c>
      <c r="I4" s="3" t="s">
        <v>735</v>
      </c>
      <c r="J4" s="3" t="s">
        <v>736</v>
      </c>
    </row>
    <row r="5" customFormat="false" ht="22.35" hidden="false" customHeight="false" outlineLevel="0" collapsed="false">
      <c r="A5" s="4" t="n">
        <v>4</v>
      </c>
      <c r="B5" s="4" t="s">
        <v>38</v>
      </c>
      <c r="C5" s="4" t="s">
        <v>39</v>
      </c>
      <c r="D5" s="4" t="s">
        <v>40</v>
      </c>
      <c r="E5" s="4" t="s">
        <v>15</v>
      </c>
      <c r="F5" s="4" t="s">
        <v>737</v>
      </c>
      <c r="G5" s="4" t="n">
        <v>9</v>
      </c>
      <c r="H5" s="4" t="s">
        <v>738</v>
      </c>
      <c r="I5" s="4" t="s">
        <v>739</v>
      </c>
      <c r="J5" s="4" t="s">
        <v>740</v>
      </c>
    </row>
    <row r="6" customFormat="false" ht="32.8" hidden="false" customHeight="false" outlineLevel="0" collapsed="false">
      <c r="A6" s="3" t="n">
        <v>5</v>
      </c>
      <c r="B6" s="3" t="s">
        <v>46</v>
      </c>
      <c r="C6" s="3" t="s">
        <v>47</v>
      </c>
      <c r="D6" s="3" t="s">
        <v>741</v>
      </c>
      <c r="E6" s="3" t="s">
        <v>15</v>
      </c>
      <c r="F6" s="3" t="s">
        <v>742</v>
      </c>
      <c r="G6" s="3" t="n">
        <v>9</v>
      </c>
      <c r="H6" s="3" t="s">
        <v>743</v>
      </c>
      <c r="I6" s="3" t="s">
        <v>744</v>
      </c>
      <c r="J6" s="3" t="s">
        <v>745</v>
      </c>
    </row>
    <row r="7" customFormat="false" ht="32.8" hidden="false" customHeight="false" outlineLevel="0" collapsed="false">
      <c r="A7" s="4" t="n">
        <v>6</v>
      </c>
      <c r="B7" s="4" t="s">
        <v>55</v>
      </c>
      <c r="C7" s="4" t="s">
        <v>55</v>
      </c>
      <c r="D7" s="4" t="s">
        <v>14</v>
      </c>
      <c r="E7" s="4" t="s">
        <v>15</v>
      </c>
      <c r="F7" s="4" t="s">
        <v>746</v>
      </c>
      <c r="G7" s="4" t="n">
        <v>9</v>
      </c>
      <c r="H7" s="4" t="s">
        <v>747</v>
      </c>
      <c r="I7" s="4" t="s">
        <v>748</v>
      </c>
      <c r="J7" s="4" t="s">
        <v>749</v>
      </c>
    </row>
    <row r="8" customFormat="false" ht="22.35" hidden="false" customHeight="false" outlineLevel="0" collapsed="false">
      <c r="A8" s="3" t="n">
        <v>7</v>
      </c>
      <c r="B8" s="3" t="s">
        <v>14</v>
      </c>
      <c r="C8" s="3" t="s">
        <v>172</v>
      </c>
      <c r="D8" s="3" t="s">
        <v>99</v>
      </c>
      <c r="E8" s="3" t="s">
        <v>15</v>
      </c>
      <c r="F8" s="3" t="s">
        <v>750</v>
      </c>
      <c r="G8" s="3" t="n">
        <v>10</v>
      </c>
      <c r="H8" s="3" t="s">
        <v>751</v>
      </c>
      <c r="I8" s="3" t="s">
        <v>752</v>
      </c>
      <c r="J8" s="3" t="s">
        <v>753</v>
      </c>
    </row>
    <row r="9" customFormat="false" ht="32.8" hidden="false" customHeight="false" outlineLevel="0" collapsed="false">
      <c r="A9" s="4" t="n">
        <v>8</v>
      </c>
      <c r="B9" s="4" t="s">
        <v>14</v>
      </c>
      <c r="C9" s="4" t="s">
        <v>144</v>
      </c>
      <c r="D9" s="4" t="s">
        <v>99</v>
      </c>
      <c r="E9" s="4" t="s">
        <v>15</v>
      </c>
      <c r="F9" s="4" t="s">
        <v>754</v>
      </c>
      <c r="G9" s="4" t="n">
        <v>9</v>
      </c>
      <c r="H9" s="4" t="s">
        <v>755</v>
      </c>
      <c r="I9" s="4" t="s">
        <v>756</v>
      </c>
      <c r="J9" s="4" t="s">
        <v>757</v>
      </c>
    </row>
    <row r="10" customFormat="false" ht="22.35" hidden="false" customHeight="false" outlineLevel="0" collapsed="false">
      <c r="A10" s="3" t="n">
        <v>9</v>
      </c>
      <c r="B10" s="3" t="s">
        <v>14</v>
      </c>
      <c r="C10" s="3" t="s">
        <v>158</v>
      </c>
      <c r="D10" s="3" t="s">
        <v>99</v>
      </c>
      <c r="E10" s="3" t="s">
        <v>15</v>
      </c>
      <c r="F10" s="3" t="s">
        <v>758</v>
      </c>
      <c r="G10" s="3" t="n">
        <v>9</v>
      </c>
      <c r="H10" s="3" t="s">
        <v>759</v>
      </c>
      <c r="I10" s="3" t="s">
        <v>760</v>
      </c>
      <c r="J10" s="3" t="s">
        <v>761</v>
      </c>
    </row>
    <row r="11" customFormat="false" ht="32.8" hidden="false" customHeight="false" outlineLevel="0" collapsed="false">
      <c r="A11" s="4" t="n">
        <v>10</v>
      </c>
      <c r="B11" s="4" t="s">
        <v>14</v>
      </c>
      <c r="C11" s="4" t="s">
        <v>302</v>
      </c>
      <c r="D11" s="4" t="s">
        <v>99</v>
      </c>
      <c r="E11" s="4" t="s">
        <v>15</v>
      </c>
      <c r="F11" s="4" t="s">
        <v>762</v>
      </c>
      <c r="G11" s="4" t="n">
        <v>10</v>
      </c>
      <c r="H11" s="4" t="s">
        <v>763</v>
      </c>
      <c r="I11" s="4" t="s">
        <v>764</v>
      </c>
      <c r="J11" s="4" t="s">
        <v>765</v>
      </c>
    </row>
    <row r="12" customFormat="false" ht="32.8" hidden="false" customHeight="false" outlineLevel="0" collapsed="false">
      <c r="A12" s="3" t="n">
        <v>11</v>
      </c>
      <c r="B12" s="3" t="s">
        <v>14</v>
      </c>
      <c r="C12" s="3" t="s">
        <v>343</v>
      </c>
      <c r="D12" s="3" t="s">
        <v>234</v>
      </c>
      <c r="E12" s="3" t="s">
        <v>15</v>
      </c>
      <c r="F12" s="3" t="s">
        <v>766</v>
      </c>
      <c r="G12" s="3" t="n">
        <v>10</v>
      </c>
      <c r="H12" s="3" t="s">
        <v>767</v>
      </c>
      <c r="I12" s="3" t="s">
        <v>768</v>
      </c>
      <c r="J12" s="3" t="s">
        <v>769</v>
      </c>
    </row>
    <row r="13" customFormat="false" ht="22.35" hidden="false" customHeight="false" outlineLevel="0" collapsed="false">
      <c r="A13" s="4" t="n">
        <v>12</v>
      </c>
      <c r="B13" s="4" t="s">
        <v>14</v>
      </c>
      <c r="C13" s="4" t="s">
        <v>476</v>
      </c>
      <c r="D13" s="4" t="s">
        <v>14</v>
      </c>
      <c r="E13" s="4" t="s">
        <v>371</v>
      </c>
      <c r="F13" s="4" t="s">
        <v>770</v>
      </c>
      <c r="G13" s="4" t="n">
        <v>10</v>
      </c>
      <c r="H13" s="4" t="s">
        <v>771</v>
      </c>
      <c r="I13" s="4" t="s">
        <v>772</v>
      </c>
      <c r="J13" s="4" t="s">
        <v>773</v>
      </c>
    </row>
    <row r="14" customFormat="false" ht="22.35" hidden="false" customHeight="false" outlineLevel="0" collapsed="false">
      <c r="A14" s="3" t="n">
        <v>13</v>
      </c>
      <c r="B14" s="3" t="s">
        <v>14</v>
      </c>
      <c r="C14" s="3" t="s">
        <v>462</v>
      </c>
      <c r="D14" s="3" t="s">
        <v>14</v>
      </c>
      <c r="E14" s="3" t="s">
        <v>371</v>
      </c>
      <c r="F14" s="3" t="s">
        <v>774</v>
      </c>
      <c r="G14" s="3" t="n">
        <v>10</v>
      </c>
      <c r="H14" s="3" t="s">
        <v>775</v>
      </c>
      <c r="I14" s="3" t="s">
        <v>776</v>
      </c>
      <c r="J14" s="3" t="s">
        <v>777</v>
      </c>
    </row>
    <row r="15" customFormat="false" ht="32.8" hidden="false" customHeight="false" outlineLevel="0" collapsed="false">
      <c r="A15" s="4" t="n">
        <v>14</v>
      </c>
      <c r="B15" s="4" t="s">
        <v>14</v>
      </c>
      <c r="C15" s="4" t="s">
        <v>778</v>
      </c>
      <c r="D15" s="4" t="s">
        <v>14</v>
      </c>
      <c r="E15" s="4" t="s">
        <v>371</v>
      </c>
      <c r="F15" s="4" t="s">
        <v>779</v>
      </c>
      <c r="G15" s="4" t="n">
        <v>10</v>
      </c>
      <c r="H15" s="4" t="s">
        <v>780</v>
      </c>
      <c r="I15" s="4" t="s">
        <v>781</v>
      </c>
      <c r="J15" s="4" t="s">
        <v>782</v>
      </c>
    </row>
    <row r="16" customFormat="false" ht="32.8" hidden="false" customHeight="false" outlineLevel="0" collapsed="false">
      <c r="A16" s="3" t="n">
        <v>15</v>
      </c>
      <c r="B16" s="3" t="s">
        <v>14</v>
      </c>
      <c r="C16" s="3" t="s">
        <v>448</v>
      </c>
      <c r="D16" s="3" t="s">
        <v>14</v>
      </c>
      <c r="E16" s="3" t="s">
        <v>371</v>
      </c>
      <c r="F16" s="3" t="s">
        <v>783</v>
      </c>
      <c r="G16" s="3" t="n">
        <v>10</v>
      </c>
      <c r="H16" s="3" t="s">
        <v>784</v>
      </c>
      <c r="I16" s="3" t="s">
        <v>785</v>
      </c>
      <c r="J16" s="3" t="s">
        <v>786</v>
      </c>
    </row>
    <row r="17" customFormat="false" ht="22.35" hidden="false" customHeight="false" outlineLevel="0" collapsed="false">
      <c r="A17" s="4" t="n">
        <v>16</v>
      </c>
      <c r="B17" s="4" t="s">
        <v>14</v>
      </c>
      <c r="C17" s="4" t="s">
        <v>413</v>
      </c>
      <c r="D17" s="4" t="s">
        <v>14</v>
      </c>
      <c r="E17" s="4" t="s">
        <v>371</v>
      </c>
      <c r="F17" s="4" t="s">
        <v>787</v>
      </c>
      <c r="G17" s="4" t="n">
        <v>10</v>
      </c>
      <c r="H17" s="4" t="s">
        <v>788</v>
      </c>
      <c r="I17" s="4" t="s">
        <v>789</v>
      </c>
      <c r="J17" s="4" t="s">
        <v>790</v>
      </c>
    </row>
    <row r="18" customFormat="false" ht="32.8" hidden="false" customHeight="false" outlineLevel="0" collapsed="false">
      <c r="A18" s="3" t="n">
        <v>17</v>
      </c>
      <c r="B18" s="3" t="s">
        <v>14</v>
      </c>
      <c r="C18" s="3" t="s">
        <v>628</v>
      </c>
      <c r="D18" s="3" t="s">
        <v>99</v>
      </c>
      <c r="E18" s="3" t="s">
        <v>614</v>
      </c>
      <c r="F18" s="3" t="s">
        <v>791</v>
      </c>
      <c r="G18" s="3" t="n">
        <v>10</v>
      </c>
      <c r="H18" s="3" t="s">
        <v>792</v>
      </c>
      <c r="I18" s="3" t="s">
        <v>793</v>
      </c>
      <c r="J18" s="3" t="s">
        <v>794</v>
      </c>
    </row>
    <row r="19" customFormat="false" ht="22.35" hidden="false" customHeight="false" outlineLevel="0" collapsed="false">
      <c r="A19" s="4" t="n">
        <v>18</v>
      </c>
      <c r="B19" s="4" t="s">
        <v>14</v>
      </c>
      <c r="C19" s="4" t="s">
        <v>649</v>
      </c>
      <c r="D19" s="4" t="s">
        <v>14</v>
      </c>
      <c r="E19" s="4" t="s">
        <v>614</v>
      </c>
      <c r="F19" s="4" t="s">
        <v>795</v>
      </c>
      <c r="G19" s="4" t="n">
        <v>10</v>
      </c>
      <c r="H19" s="4" t="s">
        <v>796</v>
      </c>
      <c r="I19" s="4" t="s">
        <v>797</v>
      </c>
      <c r="J19" s="4" t="s">
        <v>798</v>
      </c>
    </row>
    <row r="20" customFormat="false" ht="32.8" hidden="false" customHeight="false" outlineLevel="0" collapsed="false">
      <c r="A20" s="3" t="n">
        <v>19</v>
      </c>
      <c r="B20" s="3" t="s">
        <v>14</v>
      </c>
      <c r="C20" s="3" t="s">
        <v>683</v>
      </c>
      <c r="D20" s="3" t="s">
        <v>14</v>
      </c>
      <c r="E20" s="3" t="s">
        <v>614</v>
      </c>
      <c r="F20" s="3" t="s">
        <v>799</v>
      </c>
      <c r="G20" s="3" t="n">
        <v>10</v>
      </c>
      <c r="H20" s="3" t="s">
        <v>800</v>
      </c>
      <c r="I20" s="3" t="s">
        <v>801</v>
      </c>
      <c r="J20" s="3" t="s">
        <v>802</v>
      </c>
    </row>
    <row r="21" customFormat="false" ht="32.8" hidden="false" customHeight="false" outlineLevel="0" collapsed="false">
      <c r="A21" s="4" t="n">
        <v>20</v>
      </c>
      <c r="B21" s="4" t="s">
        <v>14</v>
      </c>
      <c r="C21" s="4" t="s">
        <v>697</v>
      </c>
      <c r="D21" s="4" t="s">
        <v>14</v>
      </c>
      <c r="E21" s="4" t="s">
        <v>614</v>
      </c>
      <c r="F21" s="4" t="s">
        <v>803</v>
      </c>
      <c r="G21" s="4" t="n">
        <v>10</v>
      </c>
      <c r="H21" s="4" t="s">
        <v>804</v>
      </c>
      <c r="I21" s="4" t="s">
        <v>805</v>
      </c>
      <c r="J21" s="4" t="s">
        <v>806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0"/>
  </cols>
  <sheetData>
    <row r="1" customFormat="false" ht="16.15" hidden="false" customHeight="false" outlineLevel="0" collapsed="false">
      <c r="A1" s="6" t="s">
        <v>807</v>
      </c>
    </row>
    <row r="2" customFormat="false" ht="15" hidden="false" customHeight="false" outlineLevel="0" collapsed="false">
      <c r="A2" s="7"/>
      <c r="B2" s="7"/>
    </row>
    <row r="3" customFormat="false" ht="15" hidden="false" customHeight="false" outlineLevel="0" collapsed="false">
      <c r="A3" s="7" t="s">
        <v>808</v>
      </c>
      <c r="B3" s="7" t="n">
        <f aca="false">COUNTA('100 Leads – All'!A2:A101)</f>
        <v>100</v>
      </c>
    </row>
    <row r="4" customFormat="false" ht="15" hidden="false" customHeight="false" outlineLevel="0" collapsed="false">
      <c r="A4" s="7" t="s">
        <v>809</v>
      </c>
      <c r="B4" s="7" t="n">
        <f aca="false">COUNTIF('100 Leads – All'!E2:E101,"USA")</f>
        <v>50</v>
      </c>
    </row>
    <row r="5" customFormat="false" ht="15" hidden="false" customHeight="false" outlineLevel="0" collapsed="false">
      <c r="A5" s="7" t="s">
        <v>810</v>
      </c>
      <c r="B5" s="7" t="n">
        <f aca="false">COUNTIF('100 Leads – All'!E2:E101,"UK")</f>
        <v>20</v>
      </c>
    </row>
    <row r="6" customFormat="false" ht="15" hidden="false" customHeight="false" outlineLevel="0" collapsed="false">
      <c r="A6" s="7" t="s">
        <v>811</v>
      </c>
      <c r="B6" s="7" t="n">
        <f aca="false">COUNTIF('100 Leads – All'!E2:E101,"Canada")</f>
        <v>15</v>
      </c>
    </row>
    <row r="7" customFormat="false" ht="15" hidden="false" customHeight="false" outlineLevel="0" collapsed="false">
      <c r="A7" s="7" t="s">
        <v>812</v>
      </c>
      <c r="B7" s="7" t="n">
        <f aca="false">COUNTIF('100 Leads – All'!E2:E101,"Australia")</f>
        <v>15</v>
      </c>
    </row>
    <row r="8" customFormat="false" ht="15" hidden="false" customHeight="false" outlineLevel="0" collapsed="false">
      <c r="A8" s="7"/>
      <c r="B8" s="7"/>
    </row>
    <row r="9" customFormat="false" ht="15" hidden="false" customHeight="false" outlineLevel="0" collapsed="false">
      <c r="A9" s="8" t="s">
        <v>813</v>
      </c>
      <c r="B9" s="0" t="s">
        <v>814</v>
      </c>
    </row>
    <row r="10" customFormat="false" ht="15" hidden="false" customHeight="false" outlineLevel="0" collapsed="false">
      <c r="A10" s="7" t="s">
        <v>815</v>
      </c>
      <c r="B10" s="7" t="n">
        <f aca="false">COUNTIF('100 Leads – All'!K2:K101,"*Reconciliation*")</f>
        <v>24</v>
      </c>
    </row>
    <row r="11" customFormat="false" ht="15" hidden="false" customHeight="false" outlineLevel="0" collapsed="false">
      <c r="A11" s="7" t="s">
        <v>816</v>
      </c>
      <c r="B11" s="7" t="n">
        <f aca="false">COUNTIF('100 Leads – All'!K2:K101,"*Fraud*")</f>
        <v>39</v>
      </c>
    </row>
    <row r="12" customFormat="false" ht="15" hidden="false" customHeight="false" outlineLevel="0" collapsed="false">
      <c r="A12" s="7" t="s">
        <v>817</v>
      </c>
      <c r="B12" s="7" t="n">
        <f aca="false">COUNTIF('100 Leads – All'!K2:K101,"*Hiring*")</f>
        <v>13</v>
      </c>
    </row>
    <row r="13" customFormat="false" ht="15" hidden="false" customHeight="false" outlineLevel="0" collapsed="false">
      <c r="A13" s="7" t="s">
        <v>818</v>
      </c>
      <c r="B13" s="7" t="n">
        <f aca="false">COUNTIF('100 Leads – All'!K2:K101,"*Audit*")</f>
        <v>20</v>
      </c>
    </row>
    <row r="14" customFormat="false" ht="15" hidden="false" customHeight="false" outlineLevel="0" collapsed="false">
      <c r="A14" s="7"/>
      <c r="B14" s="7"/>
    </row>
    <row r="15" customFormat="false" ht="15" hidden="false" customHeight="false" outlineLevel="0" collapsed="false">
      <c r="A15" s="8" t="s">
        <v>819</v>
      </c>
      <c r="B15" s="0" t="n">
        <f aca="false">AVERAGE('100 Leads – All'!L2:L101)</f>
        <v>8.8</v>
      </c>
    </row>
    <row r="16" customFormat="false" ht="15" hidden="false" customHeight="false" outlineLevel="0" collapsed="false">
      <c r="A16" s="7" t="s">
        <v>820</v>
      </c>
      <c r="B16" s="7" t="n">
        <f aca="false">AVERAGE('100 Leads – All'!L2:L21)</f>
        <v>8.5</v>
      </c>
    </row>
    <row r="17" customFormat="false" ht="15" hidden="false" customHeight="false" outlineLevel="0" collapsed="false">
      <c r="A17" s="8" t="s">
        <v>821</v>
      </c>
      <c r="B17" s="0" t="n">
        <f aca="false">COUNTIF('100 Leads – All'!L2:L101,"&gt;="&amp;9)</f>
        <v>62</v>
      </c>
    </row>
    <row r="18" customFormat="false" ht="15" hidden="false" customHeight="false" outlineLevel="0" collapsed="false">
      <c r="A18" s="7" t="s">
        <v>822</v>
      </c>
      <c r="B18" s="7" t="n">
        <f aca="false">COUNTIF('100 Leads – All'!L2:L101,10)</f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2026-04-08T13:10:42Z</dcterms:created>
  <dc:creator>openpyxl</dc:creator>
  <dc:description/>
  <dc:language>en-US</dc:language>
  <cp:lastModifiedBy/>
  <dcterms:modified xsi:type="dcterms:W3CDTF">2026-04-08T13:10:42Z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