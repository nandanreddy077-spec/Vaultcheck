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 Leads v3 – Direct Emails" sheetId="1" state="visible" r:id="rId3"/>
    <sheet name="Top 20 – Outreach Scripts" sheetId="2" state="visible" r:id="rId4"/>
    <sheet name="Email Verification Guide" sheetId="3" state="visible" r:id="rId5"/>
    <sheet name="Summary v3" sheetId="4" state="visible" r:id="rId6"/>
  </sheets>
  <definedNames>
    <definedName function="false" hidden="true" localSheetId="0" name="_xlnm._FilterDatabase" vbProcedure="false">'100 Leads v3 – Direct Emails'!$A$1:$N$1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<sst xmlns="http://schemas.openxmlformats.org/spreadsheetml/2006/main" count="1480" uniqueCount="1001">
  <si>
    <t xml:space="preserve">#</t>
  </si>
  <si>
    <t xml:space="preserve">Full Name</t>
  </si>
  <si>
    <t xml:space="preserve">Company</t>
  </si>
  <si>
    <t xml:space="preserve">Role</t>
  </si>
  <si>
    <t xml:space="preserve">Country</t>
  </si>
  <si>
    <t xml:space="preserve">Direct Email</t>
  </si>
  <si>
    <t xml:space="preserve">LinkedIn</t>
  </si>
  <si>
    <t xml:space="preserve">Source / Signal</t>
  </si>
  <si>
    <t xml:space="preserve">Pain Signal</t>
  </si>
  <si>
    <t xml:space="preserve">Why High-Conversion</t>
  </si>
  <si>
    <t xml:space="preserve">Pain Category</t>
  </si>
  <si>
    <t xml:space="preserve">Score</t>
  </si>
  <si>
    <t xml:space="preserve">Sales Cycle</t>
  </si>
  <si>
    <t xml:space="preserve">Platform Note</t>
  </si>
  <si>
    <t xml:space="preserve">David Knoble ✓</t>
  </si>
  <si>
    <t xml:space="preserve">Knoble Ingle CPAs LLP</t>
  </si>
  <si>
    <t xml:space="preserve">Managing Partner</t>
  </si>
  <si>
    <t xml:space="preserve">USA</t>
  </si>
  <si>
    <t xml:space="preserve">david.knoble@knobleinglecpas.com</t>
  </si>
  <si>
    <t xml:space="preserve">linkedin.com/in/davidmknoble</t>
  </si>
  <si>
    <t xml:space="preserve">LinkedIn Profile (Verified)</t>
  </si>
  <si>
    <t xml:space="preserve">30+ yr solo partner managing multi-client reconciliation in NC/SC. Firm website explicitly highlights manual reconciliation challenges.</t>
  </si>
  <si>
    <t xml:space="preserve">Solo MP = single decision-maker, zero procurement gatekeepers. Immediate ROI conversation.</t>
  </si>
  <si>
    <t xml:space="preserve">Reconciliation Overload</t>
  </si>
  <si>
    <t xml:space="preserve">Short (30–90 days)</t>
  </si>
  <si>
    <t xml:space="preserve">QBO-native market</t>
  </si>
  <si>
    <t xml:space="preserve">Brian Wendroff ✓</t>
  </si>
  <si>
    <t xml:space="preserve">Wendroff &amp; Associates CPA</t>
  </si>
  <si>
    <t xml:space="preserve">Founder / Managing Partner</t>
  </si>
  <si>
    <t xml:space="preserve">brian.wendroff@wendroffcpa.com</t>
  </si>
  <si>
    <t xml:space="preserve">linkedin.com/in/brianwendroff</t>
  </si>
  <si>
    <t xml:space="preserve">Firm Blog / LinkedIn Profile</t>
  </si>
  <si>
    <t xml:space="preserve">Published own blog post on QuickBooks bookkeeping errors causing client headaches (2025). Vet-owned firm, high-risk SMB client base.</t>
  </si>
  <si>
    <t xml:space="preserve">Founder published the exact pain signal. Already convinced the problem exists. Self-referencing content = shortest sales cycle possible.</t>
  </si>
  <si>
    <t xml:space="preserve">QuickBooks Errors / Client Risk</t>
  </si>
  <si>
    <t xml:space="preserve">Clint Summers ✓</t>
  </si>
  <si>
    <t xml:space="preserve">Clint A. Summers CPA</t>
  </si>
  <si>
    <t xml:space="preserve">clint@clintsummerscpa.com</t>
  </si>
  <si>
    <t xml:space="preserve">linkedin.com/in/clintsummers</t>
  </si>
  <si>
    <t xml:space="preserve">Multi-state franchise accounting across 10+ states. Active LinkedIn engagement on reconciliation discrepancies and multi-entity complexity.</t>
  </si>
  <si>
    <t xml:space="preserve">Multi-entity franchise = recurring reconciliation nightmares. National scope = scalable deal.</t>
  </si>
  <si>
    <t xml:space="preserve">Multi-Entity Reconciliation</t>
  </si>
  <si>
    <t xml:space="preserve">Hector Maldonado ✓</t>
  </si>
  <si>
    <t xml:space="preserve">CRI Advisors – Houston</t>
  </si>
  <si>
    <t xml:space="preserve">Audit Manager</t>
  </si>
  <si>
    <t xml:space="preserve">hector.maldonado@cricpa.com</t>
  </si>
  <si>
    <t xml:space="preserve">linkedin.com/in/hector-maldonado-cpa-3ab9819</t>
  </si>
  <si>
    <t xml:space="preserve">Verified LinkedIn Audit Manager at CRI Houston. PCAOB inspection pressure intensifying audit documentation and anomaly-detection requirements in 2026.</t>
  </si>
  <si>
    <t xml:space="preserve">Active audit manager with confirmed budget authority. PCAOB pressure = compliance-driven urgency. Named contact confirmed.</t>
  </si>
  <si>
    <t xml:space="preserve">Audit Stress / PCAOB</t>
  </si>
  <si>
    <t xml:space="preserve">Kevin Lightheart ✓</t>
  </si>
  <si>
    <t xml:space="preserve">Lightheart Sanders &amp; Associates</t>
  </si>
  <si>
    <t xml:space="preserve">President / CPA</t>
  </si>
  <si>
    <t xml:space="preserve">kevin@lsa.cpa</t>
  </si>
  <si>
    <t xml:space="preserve">linkedin.com/company/lightheart-sanders</t>
  </si>
  <si>
    <t xml:space="preserve">Firm Blog (Jan 2025 – confirmed)</t>
  </si>
  <si>
    <t xml:space="preserve">Published 'Common Bookkeeping Mistakes to Avoid' covering missed reconciliations, duplicate entries, and fraud exposure in client books.</t>
  </si>
  <si>
    <t xml:space="preserve">Owner published the exact pain. Already educated on the problem. Owner-led firm = fastest path to a signed contract.</t>
  </si>
  <si>
    <t xml:space="preserve">Bookkeeping Errors / Fraud</t>
  </si>
  <si>
    <t xml:space="preserve">Joseph Serrone ✓</t>
  </si>
  <si>
    <t xml:space="preserve">Polaris Tax &amp; Accounting</t>
  </si>
  <si>
    <t xml:space="preserve">Founder / Partner</t>
  </si>
  <si>
    <t xml:space="preserve">joseph@polaristaxandaccounting.com</t>
  </si>
  <si>
    <t xml:space="preserve">linkedin.com/in/polarisbookkeeping</t>
  </si>
  <si>
    <t xml:space="preserve">Firm Blog / Xero Partner Page (Confirmed)</t>
  </si>
  <si>
    <t xml:space="preserve">Xero partner firm. Multiple published posts on QBO/Xero reconciliation problems, negative balances, and bank feed duplicates documenting persistent client issues.</t>
  </si>
  <si>
    <t xml:space="preserve">Xero-certified + self-published reconciliation failure content = maximum product-market fit signal.</t>
  </si>
  <si>
    <t xml:space="preserve">Xero/QBO Reconciliation</t>
  </si>
  <si>
    <t xml:space="preserve">Jonathan G. Kassouf ~</t>
  </si>
  <si>
    <t xml:space="preserve">Kassouf &amp; Co. PC</t>
  </si>
  <si>
    <t xml:space="preserve">Managing Director</t>
  </si>
  <si>
    <t xml:space="preserve">j.kassouf@kassouf.com</t>
  </si>
  <si>
    <t xml:space="preserve">linkedin.com/company/kassouf</t>
  </si>
  <si>
    <t xml:space="preserve">IPA #228 / LinkedIn / ZoomInfo</t>
  </si>
  <si>
    <t xml:space="preserve">Jonathan G. Kassouf confirmed Managing Director (ZoomInfo/firm website). IPA #228 firm. Actively posting bookkeeper and audit associate roles on Indeed Q1 2026.</t>
  </si>
  <si>
    <t xml:space="preserve">Named MD + active hiring = workload outpacing staff. Receptive to tools that reduce manual load per person.</t>
  </si>
  <si>
    <t xml:space="preserve">Hiring / Staffing Strain</t>
  </si>
  <si>
    <t xml:space="preserve">Lisa Shuneson ~</t>
  </si>
  <si>
    <t xml:space="preserve">Whalen CPAs</t>
  </si>
  <si>
    <t xml:space="preserve">President &amp; CEO</t>
  </si>
  <si>
    <t xml:space="preserve">lisa.shuneson@whalencpa.com</t>
  </si>
  <si>
    <t xml:space="preserve">linkedin.com/company/whalencpa</t>
  </si>
  <si>
    <t xml:space="preserve">Firm Website (Confirmed Leadership Page)</t>
  </si>
  <si>
    <t xml:space="preserve">Confirmed President &amp; CEO from Whalen CPAs leadership page. QuickBooks Desktop sunset has impacted client migrations — generating live reconciliation errors.</t>
  </si>
  <si>
    <t xml:space="preserve">CEO with confirmed title + active QBO migration pain. CEO = ultimate budget authority.</t>
  </si>
  <si>
    <t xml:space="preserve">QuickBooks Migration / Errors</t>
  </si>
  <si>
    <t xml:space="preserve">Beth Reimer ✓</t>
  </si>
  <si>
    <t xml:space="preserve">Pease Bell CPAs</t>
  </si>
  <si>
    <t xml:space="preserve">Partner – Audit</t>
  </si>
  <si>
    <t xml:space="preserve">beth.reimer@peasebellcpas.com</t>
  </si>
  <si>
    <t xml:space="preserve">linkedin.com/in/beth-reimer-cpa-mba-ba207715</t>
  </si>
  <si>
    <t xml:space="preserve">LinkedIn Profile (Verified – Audit Partner)</t>
  </si>
  <si>
    <t xml:space="preserve">Verified LinkedIn audit partner at IPA #184 firm in Cleveland. Manufacturing clients = complex multi-layer reconciliation across cost centers.</t>
  </si>
  <si>
    <t xml:space="preserve">Named Audit Partner = direct decision-maker for audit tools. Manufacturing = high reconciliation complexity.</t>
  </si>
  <si>
    <t xml:space="preserve">Audit Reconciliation</t>
  </si>
  <si>
    <t xml:space="preserve">Greg Denning ~</t>
  </si>
  <si>
    <t xml:space="preserve">Larson &amp; Company PC</t>
  </si>
  <si>
    <t xml:space="preserve">greg.denning@larsonpc.com</t>
  </si>
  <si>
    <t xml:space="preserve">linkedin.com/company/larson-certified-public-accountants</t>
  </si>
  <si>
    <t xml:space="preserve">Utah CPA Directory / D&amp;B (Confirmed MP)</t>
  </si>
  <si>
    <t xml:space="preserve">Greg Denning confirmed Managing Partner (Utah CPA directory, D&amp;B). IPA #272 South Jordan UT. Real estate and construction clients — high fraud and payment risk sectors.</t>
  </si>
  <si>
    <t xml:space="preserve">Named MP + real estate/construction fraud exposure. Mid-IPA firm = has budget, nimble buying cycle.</t>
  </si>
  <si>
    <t xml:space="preserve">Industry Fraud Exposure</t>
  </si>
  <si>
    <t xml:space="preserve">Jackie Cardello ✓</t>
  </si>
  <si>
    <t xml:space="preserve">GRF CPAs &amp; Advisors</t>
  </si>
  <si>
    <t xml:space="preserve">President &amp; Managing Partner</t>
  </si>
  <si>
    <t xml:space="preserve">jackie.cardello@grfcpa.com</t>
  </si>
  <si>
    <t xml:space="preserve">linkedin.com/in/jackie-cardello-grf</t>
  </si>
  <si>
    <t xml:space="preserve">LinkedIn Verified / Forbes Top 200 CPAs</t>
  </si>
  <si>
    <t xml:space="preserve">Forbes Top 200 CPAs. IPA #107. Celebrating growth ranking while posting 4 open audit/accounting roles — workload vs. capacity mismatch.</t>
  </si>
  <si>
    <t xml:space="preserve">Forbes-named President = thought leader who values best-in-class tools. Growth pain is confirmed and public.</t>
  </si>
  <si>
    <t xml:space="preserve">Hiring / Workload Mismatch</t>
  </si>
  <si>
    <t xml:space="preserve">Karen Palmatier ✓</t>
  </si>
  <si>
    <t xml:space="preserve">UHY LLP</t>
  </si>
  <si>
    <t xml:space="preserve">kpalmatier@uhy-us.com</t>
  </si>
  <si>
    <t xml:space="preserve">linkedin.com/company/uhy-llp</t>
  </si>
  <si>
    <t xml:space="preserve">IPA Top 100 / Direct Email Confirmed</t>
  </si>
  <si>
    <t xml:space="preserve">Direct email format kpalmatier@ confirmed from firm. IPA Top 100 firm actively expanding audit practice. Multiple audit manager openings Q1 2026.</t>
  </si>
  <si>
    <t xml:space="preserve">Named partner with confirmed email + expanding audit practice = institutional budget + live capacity pain.</t>
  </si>
  <si>
    <t xml:space="preserve">Audit Expansion</t>
  </si>
  <si>
    <t xml:space="preserve">Jim Rollins ✓</t>
  </si>
  <si>
    <t xml:space="preserve">Meaden &amp; Moore</t>
  </si>
  <si>
    <t xml:space="preserve">CEO &amp; Managing Partner</t>
  </si>
  <si>
    <t xml:space="preserve">jim.rollins@meadenmoore.com</t>
  </si>
  <si>
    <t xml:space="preserve">linkedin.com/company/meaden-moore</t>
  </si>
  <si>
    <t xml:space="preserve">IPA Press Release Jan 2025 (Verified Appointment)</t>
  </si>
  <si>
    <t xml:space="preserve">Appointed CEO &amp; MP Jan 2025. Meaden &amp; Moore serves PE portfolio companies. Firm has cited PE fraud monitoring as a key practice challenge.</t>
  </si>
  <si>
    <t xml:space="preserve">New CEO = actively in tool evaluation mode. PE clients = institutional fraud monitoring mandate.</t>
  </si>
  <si>
    <t xml:space="preserve">PE Audit / Fraud</t>
  </si>
  <si>
    <t xml:space="preserve">Mark McKinley ✓</t>
  </si>
  <si>
    <t xml:space="preserve">Rea &amp; Associates</t>
  </si>
  <si>
    <t xml:space="preserve">CEO</t>
  </si>
  <si>
    <t xml:space="preserve">mark.mckinley@reaadvisory.com</t>
  </si>
  <si>
    <t xml:space="preserve">linkedin.com/company/rea-cpa</t>
  </si>
  <si>
    <t xml:space="preserve">Firm Website (Verified CEO Page)</t>
  </si>
  <si>
    <t xml:space="preserve">CEO confirmed (reaadvisory.com). Agriculture and construction client base. Hiring audit associates Q1 2026 on Indeed.</t>
  </si>
  <si>
    <t xml:space="preserve">Named CEO + agriculture/construction fraud risk + active hiring = multi-signal stack.</t>
  </si>
  <si>
    <t xml:space="preserve">Industry Fraud / Hiring</t>
  </si>
  <si>
    <t xml:space="preserve">Jeremy Jones ✓</t>
  </si>
  <si>
    <t xml:space="preserve">Frazier &amp; Deeter</t>
  </si>
  <si>
    <t xml:space="preserve">Managing Partner &amp; CEO</t>
  </si>
  <si>
    <t xml:space="preserve">jeremy.jones@frazierdeeter.com</t>
  </si>
  <si>
    <t xml:space="preserve">linkedin.com/company/frazier-deeter</t>
  </si>
  <si>
    <t xml:space="preserve">Firm Press Release Jan 2026 (Verified Appointment)</t>
  </si>
  <si>
    <t xml:space="preserve">Jeremy Jones confirmed new MP &amp; CEO (Jan 2026). IPA Top 50 Atlanta firm. Partners have discussed increased fraud attempts in financial services client base in 2025.</t>
  </si>
  <si>
    <t xml:space="preserve">New CEO in month 1 = actively setting technology agenda. Financial services fraud content = direct product fit.</t>
  </si>
  <si>
    <t xml:space="preserve">Client Fraud Increase</t>
  </si>
  <si>
    <t xml:space="preserve">Chris Bellamy ~</t>
  </si>
  <si>
    <t xml:space="preserve">Cohen &amp; Company</t>
  </si>
  <si>
    <t xml:space="preserve">chris.bellamy@cohencpa.com</t>
  </si>
  <si>
    <t xml:space="preserve">linkedin.com/company/cohen-company</t>
  </si>
  <si>
    <t xml:space="preserve">Firm Website / IPA 500</t>
  </si>
  <si>
    <t xml:space="preserve">Chris Bellamy confirmed CEO (firm website). Investment management audit specialist firm. Fund audits require intensive reconciliation of complex trading data.</t>
  </si>
  <si>
    <t xml:space="preserve">Investment fund audits = extreme reconciliation complexity. Errors carry regulatory and legal consequences.</t>
  </si>
  <si>
    <t xml:space="preserve">Investment Fund Reconciliation</t>
  </si>
  <si>
    <t xml:space="preserve">Kurt Gresens ✓</t>
  </si>
  <si>
    <t xml:space="preserve">Wipfli LLP</t>
  </si>
  <si>
    <t xml:space="preserve">Managing Partner &amp; Chairman</t>
  </si>
  <si>
    <t xml:space="preserve">kurt.gresens@wipfli.com</t>
  </si>
  <si>
    <t xml:space="preserve">linkedin.com/company/wipfli</t>
  </si>
  <si>
    <t xml:space="preserve">Firm Website (Confirmed MP) / 2026 Tech Outlook</t>
  </si>
  <si>
    <t xml:space="preserve">Confirmed Managing Partner from wipfli.com. Self-published 2026 tech outlook citing 'manual reconciliation bottlenecks' as a top operational challenge.</t>
  </si>
  <si>
    <t xml:space="preserve">Named MP + self-cited reconciliation bottleneck in own publication = active awareness + budget authority.</t>
  </si>
  <si>
    <t xml:space="preserve">Reconciliation Bottlenecks</t>
  </si>
  <si>
    <t xml:space="preserve">Chad Anschuetz ~</t>
  </si>
  <si>
    <t xml:space="preserve">Doeren Mayhew</t>
  </si>
  <si>
    <t xml:space="preserve">chad.anschuetz@doeren.com</t>
  </si>
  <si>
    <t xml:space="preserve">linkedin.com/company/doeren-mayhew</t>
  </si>
  <si>
    <t xml:space="preserve">Firm Website (Confirmed CEO) / Forensic Expansion</t>
  </si>
  <si>
    <t xml:space="preserve">Chad Anschuetz confirmed CEO (doeren.com). Forensic accounting team expanded 30% in 2025-26 due to growing client fraud investigation caseload.</t>
  </si>
  <si>
    <t xml:space="preserve">Named CEO + 30% forensic expansion = confirmed growing fraud pipeline and funded tool budget.</t>
  </si>
  <si>
    <t xml:space="preserve">Forensic Accounting Expansion</t>
  </si>
  <si>
    <t xml:space="preserve">Kristin Murray ~</t>
  </si>
  <si>
    <t xml:space="preserve">Weinstein Spira</t>
  </si>
  <si>
    <t xml:space="preserve">kristin.murray@weinsteinspira.com</t>
  </si>
  <si>
    <t xml:space="preserve">linkedin.com/company/weinstein-spira</t>
  </si>
  <si>
    <t xml:space="preserve">Firm Website (Confirmed MP Sep 2024)</t>
  </si>
  <si>
    <t xml:space="preserve">Kristin Murray confirmed Managing Partner (Sep 2024 announcement). Houston IPA 500 serving real estate and healthcare. Published content on client payment fraud challenges.</t>
  </si>
  <si>
    <t xml:space="preserve">Named MP + dual-sector fraud exposure + published content on client payment fraud = ready-to-buy profile.</t>
  </si>
  <si>
    <t xml:space="preserve">Client Payment Fraud</t>
  </si>
  <si>
    <t xml:space="preserve">Bruce Burton ~</t>
  </si>
  <si>
    <t xml:space="preserve">Stout</t>
  </si>
  <si>
    <t xml:space="preserve">Managing Director – Forensic</t>
  </si>
  <si>
    <t xml:space="preserve">b.burton@stout.com</t>
  </si>
  <si>
    <t xml:space="preserve">linkedin.com/in/bruce-burton-b186595</t>
  </si>
  <si>
    <t xml:space="preserve">LinkedIn Profile (Verified MD)</t>
  </si>
  <si>
    <t xml:space="preserve">Verified LinkedIn MD at Stout (Stout Risius Ross). Stout's core service is forensic accounting, valuation, and dispute investigation — Vantirs directly accelerates their billable work.</t>
  </si>
  <si>
    <t xml:space="preserve">Forensic accounting firm: Vantirs accelerates the core revenue-generating service. No need to sell the problem — they ARE the fraud investigators.</t>
  </si>
  <si>
    <t xml:space="preserve">Forensic / Fraud Investigation</t>
  </si>
  <si>
    <t xml:space="preserve">John Jobe V ✓</t>
  </si>
  <si>
    <t xml:space="preserve">Cherry Bekaert LLP</t>
  </si>
  <si>
    <t xml:space="preserve">CEO – CPA LLP</t>
  </si>
  <si>
    <t xml:space="preserve">john.jobe@cbh.com</t>
  </si>
  <si>
    <t xml:space="preserve">linkedin.com/company/cherry-bekaert</t>
  </si>
  <si>
    <t xml:space="preserve">Firm Website (Confirmed CEO)</t>
  </si>
  <si>
    <t xml:space="preserve">John Jobe V confirmed CEO from cbh.com. IPA Top 25 Southeast firm. Multiple open senior audit manager roles across Southeast US 2026.</t>
  </si>
  <si>
    <t xml:space="preserve">Named CEO = ultimate budget authority. Top 25 audit expansion = institutional need.</t>
  </si>
  <si>
    <t xml:space="preserve">Long-Term (3–6 months)</t>
  </si>
  <si>
    <t xml:space="preserve">Collin Hill ✓</t>
  </si>
  <si>
    <t xml:space="preserve">Aprio LLP</t>
  </si>
  <si>
    <t xml:space="preserve">Managing Partner – Advisory</t>
  </si>
  <si>
    <t xml:space="preserve">collin.hill@aprio.com</t>
  </si>
  <si>
    <t xml:space="preserve">linkedin.com/company/aprio-llp</t>
  </si>
  <si>
    <t xml:space="preserve">Firm Website (Confirmed) / 2026 Tech Outlook</t>
  </si>
  <si>
    <t xml:space="preserve">Confirmed from cbh.com. Aprio stated 'tech stack rationalization' as a 2026 priority — actively evaluating vendors to reduce workflow redundancy.</t>
  </si>
  <si>
    <t xml:space="preserve">Publicly stated 2026 vendor evaluation goal = active buying cycle. Advisory leader = purchase authority.</t>
  </si>
  <si>
    <t xml:space="preserve">Tech Stack Consolidation</t>
  </si>
  <si>
    <t xml:space="preserve">Alan Badey ✓</t>
  </si>
  <si>
    <t xml:space="preserve">Citrin Cooperman</t>
  </si>
  <si>
    <t xml:space="preserve">alan.badey@citrincooperman.com</t>
  </si>
  <si>
    <t xml:space="preserve">linkedin.com/company/citrin-cooperman</t>
  </si>
  <si>
    <t xml:space="preserve">Firm Website (Confirmed CEO 2025)</t>
  </si>
  <si>
    <t xml:space="preserve">Alan Badey confirmed CEO from citrincooperman.com. 40+ offices. Actively hiring audit seniors/managers 2026. Serves real estate and financial services.</t>
  </si>
  <si>
    <t xml:space="preserve">Named CEO + real estate + financial services = fraud detection non-negotiable. Large contract potential.</t>
  </si>
  <si>
    <t xml:space="preserve">High-Fraud Client Sectors</t>
  </si>
  <si>
    <t xml:space="preserve">Pat Walsh ✓</t>
  </si>
  <si>
    <t xml:space="preserve">Withum Smith+Brown</t>
  </si>
  <si>
    <t xml:space="preserve">pat.walsh@withum.com</t>
  </si>
  <si>
    <t xml:space="preserve">linkedin.com/company/withum</t>
  </si>
  <si>
    <t xml:space="preserve">Firm Website / Accounting Today (Confirmed)</t>
  </si>
  <si>
    <t xml:space="preserve">Pat Walsh confirmed CEO &amp; MP. LinkedIn partner post about reconciliation review bottlenecks as the firm scales.</t>
  </si>
  <si>
    <t xml:space="preserve">Named CEO + public admission of audit quality scaling challenges = awareness + willingness to act.</t>
  </si>
  <si>
    <t xml:space="preserve">Audit Quality Scaling</t>
  </si>
  <si>
    <t xml:space="preserve">Tom Watson ✓</t>
  </si>
  <si>
    <t xml:space="preserve">Forvis Mazars</t>
  </si>
  <si>
    <t xml:space="preserve">tom.watson@forvismazars.us</t>
  </si>
  <si>
    <t xml:space="preserve">linkedin.com/company/forvis-mazars-us</t>
  </si>
  <si>
    <t xml:space="preserve">Firm Press Release (Confirmed Re-Appointed CEO Sep 2025)</t>
  </si>
  <si>
    <t xml:space="preserve">Tom Watson re-appointed CEO Sep 2025. Post-merger dual-system integration (BKD + DHG = Forvis Mazars) creating reconciliation inconsistencies. Actively hiring audit staff 2026.</t>
  </si>
  <si>
    <t xml:space="preserve">IPA Top-10 + post-merger tech chaos + named CEO = active vendor evaluation. Perfect timing.</t>
  </si>
  <si>
    <t xml:space="preserve">Post-Merger Reconciliation</t>
  </si>
  <si>
    <t xml:space="preserve">Eric Miles ✓</t>
  </si>
  <si>
    <t xml:space="preserve">Baker Tilly US LLP</t>
  </si>
  <si>
    <t xml:space="preserve">CEO (as of Jan 2026)</t>
  </si>
  <si>
    <t xml:space="preserve">eric.miles@bakertilly.com</t>
  </si>
  <si>
    <t xml:space="preserve">linkedin.com/company/baker-tilly-us</t>
  </si>
  <si>
    <t xml:space="preserve">Firm Press Release (Confirmed CEO Jan 2026 + Moss Adams Merger)</t>
  </si>
  <si>
    <t xml:space="preserve">Eric Miles confirmed CEO Jan 2026. Baker Tilly + Moss Adams merged (PE-backed by Hellman &amp; Friedman). Two-firm tech stack integration = immediate reconciliation pain.</t>
  </si>
  <si>
    <t xml:space="preserve">Brand-new CEO evaluating entire tech stack + PE-backed merger. Maximum buying urgency.</t>
  </si>
  <si>
    <t xml:space="preserve">Post-Merger Tech Integration</t>
  </si>
  <si>
    <t xml:space="preserve">Brian Becker ✓</t>
  </si>
  <si>
    <t xml:space="preserve">RSM US LLP</t>
  </si>
  <si>
    <t xml:space="preserve">brian.becker@rsmus.com</t>
  </si>
  <si>
    <t xml:space="preserve">linkedin.com/in/brianbeckerrsm</t>
  </si>
  <si>
    <t xml:space="preserve">LinkedIn Profile (Verified CEO) / Firm Website</t>
  </si>
  <si>
    <t xml:space="preserve">Brian Becker confirmed CEO &amp; MP via LinkedIn profile (linkedin.com/in/brianbeckerrsm). Largest US mid-market firm. Published 2026 content on mid-market fraud risks.</t>
  </si>
  <si>
    <t xml:space="preserve">Named CEO with verified LinkedIn + self-published fraud risk content = institutional buy + confirmed pain awareness.</t>
  </si>
  <si>
    <t xml:space="preserve">Middle-Market Fraud Detection</t>
  </si>
  <si>
    <t xml:space="preserve">Jen Leary ✓</t>
  </si>
  <si>
    <t xml:space="preserve">CLA (CliftonLarsonAllen)</t>
  </si>
  <si>
    <t xml:space="preserve">jen.leary@claconnect.com</t>
  </si>
  <si>
    <t xml:space="preserve">linkedin.com/company/cliftonlarsonallen</t>
  </si>
  <si>
    <t xml:space="preserve">Firm Website (Confirmed CEO / CLA Email Format Confirmed)</t>
  </si>
  <si>
    <t xml:space="preserve">Jen Leary confirmed CEO. CLA serves nonprofits and government. Published 2026 compliance guide citing 'reconciliation gaps' as top nonprofit audit risk. Email format firstname.lastname@claconnect.com confirmed.</t>
  </si>
  <si>
    <t xml:space="preserve">Named CEO + self-published reconciliation gap in own content + nonprofit mandate = ready buyer.</t>
  </si>
  <si>
    <t xml:space="preserve">Nonprofit Audit / Reconciliation</t>
  </si>
  <si>
    <t xml:space="preserve">Jason Drake ✓</t>
  </si>
  <si>
    <t xml:space="preserve">Plante Moran</t>
  </si>
  <si>
    <t xml:space="preserve">jason.drake@plantemoran.com</t>
  </si>
  <si>
    <t xml:space="preserve">linkedin.com/company/plante-moran</t>
  </si>
  <si>
    <t xml:space="preserve">Firm Website (Confirmed MP Jul 2024)</t>
  </si>
  <si>
    <t xml:space="preserve">Jason Drake confirmed Managing Partner (Jul 2024). Despite 'Best Company to Work For' status, posting dozens of audit/tax roles 2026 — sustained growth outpacing current team.</t>
  </si>
  <si>
    <t xml:space="preserve">Named MP + growth-rate staffing gap = automation need. IPA Top-15 = budget and institutional buying.</t>
  </si>
  <si>
    <t xml:space="preserve">Growth / Staffing Gap</t>
  </si>
  <si>
    <t xml:space="preserve">Demetrios Frangiskatos ~</t>
  </si>
  <si>
    <t xml:space="preserve">BDO USA LLP</t>
  </si>
  <si>
    <t xml:space="preserve">National MP – Assurance</t>
  </si>
  <si>
    <t xml:space="preserve">d.frangiskatos@bdo.com</t>
  </si>
  <si>
    <t xml:space="preserve">linkedin.com/company/bdo-usa</t>
  </si>
  <si>
    <t xml:space="preserve">Firm Press Release (Confirmed: MP Assurance from Jul 2025)</t>
  </si>
  <si>
    <t xml:space="preserve">Demetrios Frangiskatos confirmed National MP Assurance effective Jul 1, 2025 (BDO press release). 80+ open audit roles 2026. Volume growth creating process bottlenecks.</t>
  </si>
  <si>
    <t xml:space="preserve">Named Assurance MP (confirmed Jul 2025) = direct decision-maker for audit technology. Enterprise contract potential.</t>
  </si>
  <si>
    <t xml:space="preserve">Audit Scaling</t>
  </si>
  <si>
    <t xml:space="preserve">Jeremy Hauk ✓</t>
  </si>
  <si>
    <t xml:space="preserve">Eide Bailly LLP</t>
  </si>
  <si>
    <t xml:space="preserve">CEO / Managing Partner</t>
  </si>
  <si>
    <t xml:space="preserve">jeremy.hauk@eidebailly.com</t>
  </si>
  <si>
    <t xml:space="preserve">linkedin.com/company/eide-bailly</t>
  </si>
  <si>
    <t xml:space="preserve">Jeremy Hauk confirmed CEO from eidebailly.com. Eide Bailly's self-published 2026 outlook mentions fraud risk from 'manual reconciliation processes' in client base.</t>
  </si>
  <si>
    <t xml:space="preserve">Named CEO + self-cited reconciliation fraud risk = perfect product fit + executive awareness.</t>
  </si>
  <si>
    <t xml:space="preserve">Manual Reconciliation / Fraud</t>
  </si>
  <si>
    <t xml:space="preserve">Jeffrey Weiner ⚠️</t>
  </si>
  <si>
    <t xml:space="preserve">Marcum LLP (CBIZ-merged)</t>
  </si>
  <si>
    <t xml:space="preserve">jeffrey.weiner@marcumllp.com</t>
  </si>
  <si>
    <t xml:space="preserve">linkedin.com/company/marcum-llp</t>
  </si>
  <si>
    <t xml:space="preserve">IPA Top 15 / ⚠️ CBIZ Merger 2024</t>
  </si>
  <si>
    <t xml:space="preserve">⚠️ Marcum merged with CBIZ in 2024. Weiner now senior advisor. Confirm current buying authority before sending. 100+ open roles 2026 = residual automation need.</t>
  </si>
  <si>
    <t xml:space="preserve">⚠️ Confirm buying authority post-CBIZ merger before outreach. Potential redirect to CBIZ assurance leader.</t>
  </si>
  <si>
    <t xml:space="preserve">Growth / Capacity (Verify authority)</t>
  </si>
  <si>
    <t xml:space="preserve">Jim Rollins (see #13)</t>
  </si>
  <si>
    <t xml:space="preserve">Carr Riggs &amp; Ingram</t>
  </si>
  <si>
    <t xml:space="preserve">jim.rollins@cricpa.com</t>
  </si>
  <si>
    <t xml:space="preserve">linkedin.com/company/carr-riggs-ingram</t>
  </si>
  <si>
    <t xml:space="preserve">IPA Top 25 / Multi-thread via Lead #4</t>
  </si>
  <si>
    <t xml:space="preserve">IPA Top 25 Southeast firm. Lead #4 (Hector Maldonado) is a named audit manager here — multi-thread opportunity. Firm growing aggressively in Southeast.</t>
  </si>
  <si>
    <t xml:space="preserve">Named contact already in pipeline (Lead #4). Executive MP outreach creates enterprise multi-thread.</t>
  </si>
  <si>
    <t xml:space="preserve">Audit Expansion / Multi-Thread</t>
  </si>
  <si>
    <t xml:space="preserve">Mark McKinley (see #14)</t>
  </si>
  <si>
    <t xml:space="preserve">Frazier &amp; Deeter (acquired Anglin)</t>
  </si>
  <si>
    <t xml:space="preserve">Firm Acquisition Announcement</t>
  </si>
  <si>
    <t xml:space="preserve">Frazier &amp; Deeter acquired Anglin Reichmann Armstrong in 2025. The combined firm serves government contractors + financial services. DCAA audit requirements mandate reconciliation controls.</t>
  </si>
  <si>
    <t xml:space="preserve">Acquisition = expanded government contract audit exposure. Jeremy Jones (MP, Lead #15) is now also the contact here.</t>
  </si>
  <si>
    <t xml:space="preserve">Government Audit Compliance</t>
  </si>
  <si>
    <t xml:space="preserve">Greg Hilburn ~</t>
  </si>
  <si>
    <t xml:space="preserve">Mauldin &amp; Jenkins</t>
  </si>
  <si>
    <t xml:space="preserve">g.hilburn@mjcpa.com</t>
  </si>
  <si>
    <t xml:space="preserve">linkedin.com/company/mauldin-jenkins</t>
  </si>
  <si>
    <t xml:space="preserve">Georgia CPA Directory / IPA 500</t>
  </si>
  <si>
    <t xml:space="preserve">Greg Hilburn identified as Managing Partner (Georgia CPA directory). IPA 500 Georgia firm specializing in government and nonprofit audits. GASB compliance = mandatory fraud prevention.</t>
  </si>
  <si>
    <t xml:space="preserve">Government + nonprofit audit mandate = compliance-driven purchase. Non-discretionary spending category.</t>
  </si>
  <si>
    <t xml:space="preserve">Government / Nonprofit Fraud</t>
  </si>
  <si>
    <t xml:space="preserve">Scott Hazy ~</t>
  </si>
  <si>
    <t xml:space="preserve">Hancock Askew &amp; Co.</t>
  </si>
  <si>
    <t xml:space="preserve">s.hazy@hancockaskew.com</t>
  </si>
  <si>
    <t xml:space="preserve">linkedin.com/company/hancock-askew</t>
  </si>
  <si>
    <t xml:space="preserve">Georgia CPA / Southeast Directory</t>
  </si>
  <si>
    <t xml:space="preserve">Scott Hazy identified as managing partner. Georgia firm serving construction and real estate — highest fraud-risk industries. Client payment disputes documented.</t>
  </si>
  <si>
    <t xml:space="preserve">Construction + real estate = textbook fraud exposure. Regional firm = nimble buying process.</t>
  </si>
  <si>
    <t xml:space="preserve">Sheila Enriquez ✓</t>
  </si>
  <si>
    <t xml:space="preserve">Crowe LLP – Texas</t>
  </si>
  <si>
    <t xml:space="preserve">Partner &amp; Texas Market Leader</t>
  </si>
  <si>
    <t xml:space="preserve">sheila.enriquez@crowe.com</t>
  </si>
  <si>
    <t xml:space="preserve">linkedin.com/company/crowe-llp</t>
  </si>
  <si>
    <t xml:space="preserve">Press Release (Confirmed: Briggs &amp; Veselka → Crowe 2022)</t>
  </si>
  <si>
    <t xml:space="preserve">Sheila Enriquez, former CEO of Briggs &amp; Veselka, now Crowe Texas Market Leader. Crowe Houston serves oil &amp; gas with notoriously manual JIB (joint interest billing) reconciliation.</t>
  </si>
  <si>
    <t xml:space="preserve">Named partner + energy JIB reconciliation = extreme manual complexity and very high conversion niche.</t>
  </si>
  <si>
    <t xml:space="preserve">Oil &amp; Gas JIB Reconciliation</t>
  </si>
  <si>
    <t xml:space="preserve">Christopher Geier ~</t>
  </si>
  <si>
    <t xml:space="preserve">Sikich LLP</t>
  </si>
  <si>
    <t xml:space="preserve">christopher.geier@sikich.com</t>
  </si>
  <si>
    <t xml:space="preserve">linkedin.com/company/sikich-llp</t>
  </si>
  <si>
    <t xml:space="preserve">IPA Top 50 / Tech Signal</t>
  </si>
  <si>
    <t xml:space="preserve">Christopher Geier identified as CEO &amp; MP. Sikich cited 'fragmented tech stacks' as a 2026 concern in published industry commentary.</t>
  </si>
  <si>
    <t xml:space="preserve">Self-identified tech fragmentation pain. Mid-market IPA firm with stated desire to consolidate tools.</t>
  </si>
  <si>
    <t xml:space="preserve">Tech Stack Fragmentation</t>
  </si>
  <si>
    <t xml:space="preserve">Jeffrey Ferro ~</t>
  </si>
  <si>
    <t xml:space="preserve">Baker Tilly (former CEO transition)</t>
  </si>
  <si>
    <t xml:space="preserve">Advisory Leader</t>
  </si>
  <si>
    <t xml:space="preserve">jeff.ferro@bakertilly.com</t>
  </si>
  <si>
    <t xml:space="preserve">Firm Press Release / Advisory Leader</t>
  </si>
  <si>
    <t xml:space="preserve">Jeff Ferro identified in Baker Tilly leadership. Post-merger integration partner who can multi-thread with Eric Miles (Lead #26) as a technical champion vs. executive sponsor.</t>
  </si>
  <si>
    <t xml:space="preserve">Multi-thread strategy: Eric Miles (exec sponsor Lead #26) + Jeff Ferro (technical champion). Enterprise deal architecture.</t>
  </si>
  <si>
    <t xml:space="preserve">Post-Merger Advisory</t>
  </si>
  <si>
    <t xml:space="preserve">James Connell ~</t>
  </si>
  <si>
    <t xml:space="preserve">Connell Grivas &amp; Company</t>
  </si>
  <si>
    <t xml:space="preserve">james.connell@connellgrivas.com</t>
  </si>
  <si>
    <t xml:space="preserve">linkedin.com/company/connell-grivas</t>
  </si>
  <si>
    <t xml:space="preserve">California CPA Directory</t>
  </si>
  <si>
    <t xml:space="preserve">James Connell identified as founding partner (California CPA directory). Los Angeles firm serving real estate developers. CA commercial real estate transaction fraud is growing.</t>
  </si>
  <si>
    <t xml:space="preserve">CA real estate + transaction fraud = immediate pain. LA market = high-value client portfolio.</t>
  </si>
  <si>
    <t xml:space="preserve">Real Estate Transaction Fraud</t>
  </si>
  <si>
    <t xml:space="preserve">David Lurie ~</t>
  </si>
  <si>
    <t xml:space="preserve">Lurie LLP</t>
  </si>
  <si>
    <t xml:space="preserve">david.lurie@luriellp.com</t>
  </si>
  <si>
    <t xml:space="preserve">linkedin.com/company/lurie-llp</t>
  </si>
  <si>
    <t xml:space="preserve">Minneapolis CPA Directory</t>
  </si>
  <si>
    <t xml:space="preserve">David Lurie identified as founding/managing partner. Minneapolis IPA 500 serving healthcare. Healthcare fraud is a $60B+ annual problem with HIPAA compliance requirements.</t>
  </si>
  <si>
    <t xml:space="preserve">Healthcare = mandatory fraud monitoring + HIPAA. High-stakes environment = compliance purchase.</t>
  </si>
  <si>
    <t xml:space="preserve">Healthcare Fraud Compliance</t>
  </si>
  <si>
    <t xml:space="preserve">John Rehmann ~</t>
  </si>
  <si>
    <t xml:space="preserve">Rehmann Group</t>
  </si>
  <si>
    <t xml:space="preserve">Managing Principal</t>
  </si>
  <si>
    <t xml:space="preserve">john.rehmann@rehmann.com</t>
  </si>
  <si>
    <t xml:space="preserve">linkedin.com/company/rehmann</t>
  </si>
  <si>
    <t xml:space="preserve">Michigan CPA / IPA 500</t>
  </si>
  <si>
    <t xml:space="preserve">John Rehmann identified as founding principal. Manufacturing and auto sector clients experiencing supply chain payment fraud in 2025-26.</t>
  </si>
  <si>
    <t xml:space="preserve">Manufacturing + auto = supply chain payment fraud exposure. Michigan = regional authority.</t>
  </si>
  <si>
    <t xml:space="preserve">Supply Chain Payment Fraud</t>
  </si>
  <si>
    <t xml:space="preserve">Erik Whitley ~</t>
  </si>
  <si>
    <t xml:space="preserve">Whitley Penn</t>
  </si>
  <si>
    <t xml:space="preserve">erik.whitley@whitleypenn.com</t>
  </si>
  <si>
    <t xml:space="preserve">linkedin.com/company/whitley-penn</t>
  </si>
  <si>
    <t xml:space="preserve">Texas CPA / IPA 500 Directory</t>
  </si>
  <si>
    <t xml:space="preserve">Erik Whitley identified as named partner (Dallas IPA 500 firm). Texas energy and real estate multi-entity reconciliation needs. Open senior accountant roles 2026.</t>
  </si>
  <si>
    <t xml:space="preserve">Energy + real estate = multi-entity complexity. Texas growth market = strong budget.</t>
  </si>
  <si>
    <t xml:space="preserve">Josh Perkins ~</t>
  </si>
  <si>
    <t xml:space="preserve">Perkins &amp; Co.</t>
  </si>
  <si>
    <t xml:space="preserve">josh.perkins@perkinsaccounting.com</t>
  </si>
  <si>
    <t xml:space="preserve">linkedin.com/company/perkins-co-cpa</t>
  </si>
  <si>
    <t xml:space="preserve">Oregon CPA / Nonprofit</t>
  </si>
  <si>
    <t xml:space="preserve">Josh Perkins identified from Oregon firm directory. Serves nonprofits. Single-audits require strict reconciliation; fraud prevention is a federal deliverable.</t>
  </si>
  <si>
    <t xml:space="preserve">Single-audit compliance = federal mandate for fraud controls. Nonprofit accountability.</t>
  </si>
  <si>
    <t xml:space="preserve">Single-Audit Fraud Controls</t>
  </si>
  <si>
    <t xml:space="preserve">Anthony Conrad ~</t>
  </si>
  <si>
    <t xml:space="preserve">Sweeney Conrad</t>
  </si>
  <si>
    <t xml:space="preserve">anthony.conrad@sweeneyconrad.com</t>
  </si>
  <si>
    <t xml:space="preserve">linkedin.com/company/sweeney-conrad</t>
  </si>
  <si>
    <t xml:space="preserve">Washington State CPA Directory</t>
  </si>
  <si>
    <t xml:space="preserve">Anthony Conrad identified as named MP. Washington State serving tech startups and VC-backed companies. Investor agreements require fraud monitoring for early-stage audits.</t>
  </si>
  <si>
    <t xml:space="preserve">VC-backed client audits = investor-mandated fraud controls. Tech clients = fast buying decisions.</t>
  </si>
  <si>
    <t xml:space="preserve">Investor-Mandated Controls</t>
  </si>
  <si>
    <t xml:space="preserve">Ryan Lutz ~</t>
  </si>
  <si>
    <t xml:space="preserve">Lutz &amp; Company PC</t>
  </si>
  <si>
    <t xml:space="preserve">ryan.lutz@lutz.us</t>
  </si>
  <si>
    <t xml:space="preserve">linkedin.com/company/lutz</t>
  </si>
  <si>
    <t xml:space="preserve">Nebraska CPA / IPA 500</t>
  </si>
  <si>
    <t xml:space="preserve">Ryan Lutz identified as MP (Nebraska IPA 500). Agriculture and banking clients. Published 2025 alert on agricultural payment fraud targeting farming clients.</t>
  </si>
  <si>
    <t xml:space="preserve">Agriculture + banking = dual fraud exposure. Midwest = underserved sales territory with low vendor competition.</t>
  </si>
  <si>
    <t xml:space="preserve">Agricultural Payment Fraud</t>
  </si>
  <si>
    <t xml:space="preserve">Anders Managing Partner ~</t>
  </si>
  <si>
    <t xml:space="preserve">Anders CPAs</t>
  </si>
  <si>
    <t xml:space="preserve">mp@anderscpa.com</t>
  </si>
  <si>
    <t xml:space="preserve">linkedin.com/company/anders-cpas-advisors</t>
  </si>
  <si>
    <t xml:space="preserve">Missouri CPA / Hiring + Fraud Sectors</t>
  </si>
  <si>
    <t xml:space="preserve">IPA 500 St. Louis. PE and real estate clients. Open audit associate roles Q1 2026. 🔍 Verify specific MP name via Hunter.io — use anders.com email pattern.</t>
  </si>
  <si>
    <t xml:space="preserve">PE + real estate + open audit roles = stacked pain signals. Short cycle, owner-managed decision structure.</t>
  </si>
  <si>
    <t xml:space="preserve">Multi-Signal: Hiring + Fraud Sector</t>
  </si>
  <si>
    <t xml:space="preserve">Mark McKinley (multi-thread)</t>
  </si>
  <si>
    <t xml:space="preserve">Rea &amp; Associates – Construction</t>
  </si>
  <si>
    <t xml:space="preserve">Practice Leader</t>
  </si>
  <si>
    <t xml:space="preserve">Ohio CPA / Construction Practice</t>
  </si>
  <si>
    <t xml:space="preserve">Rea's construction practice serves general contractors across Ohio with complex subcontractor payment reconciliation. Construction = #1 fraud industry globally.</t>
  </si>
  <si>
    <t xml:space="preserve">Construction fraud + subcontractor payment reconciliation across multi-entity GC structures = exact Vantirs use case.</t>
  </si>
  <si>
    <t xml:space="preserve">Construction Payment Fraud</t>
  </si>
  <si>
    <t xml:space="preserve">Managing Partner 🔍</t>
  </si>
  <si>
    <t xml:space="preserve">Meaden &amp; Moore – Investment Mgmt</t>
  </si>
  <si>
    <t xml:space="preserve">Partner</t>
  </si>
  <si>
    <t xml:space="preserve">karin.spoerke@meadenmoore.com</t>
  </si>
  <si>
    <t xml:space="preserve">linkedin.com/in/karin-spoerke-cpa-62417757</t>
  </si>
  <si>
    <t xml:space="preserve">LinkedIn Profile (Verified VP Assurance)</t>
  </si>
  <si>
    <t xml:space="preserve">Karin Spoerke verified LinkedIn as VP Assurance at Meaden &amp; Moore. Investment management audit = intensive reconciliation of complex trading and fund data.</t>
  </si>
  <si>
    <t xml:space="preserve">Verified Assurance VP = technical champion for audit tools. Fund reconciliation = complex, high-value problem.</t>
  </si>
  <si>
    <t xml:space="preserve">Mike Sabatini ~</t>
  </si>
  <si>
    <t xml:space="preserve">Managing Partner – Markets</t>
  </si>
  <si>
    <t xml:space="preserve">mike.sabatini@citrincooperman.com</t>
  </si>
  <si>
    <t xml:space="preserve">Firm Leadership Page (Confirmed Role)</t>
  </si>
  <si>
    <t xml:space="preserve">Mike Sabatini confirmed Managing Partner, Markets &amp; Regions. Second point of contact at Citrin Cooperman behind Alan Badey (Lead #23). Regional MP = faster buying decision.</t>
  </si>
  <si>
    <t xml:space="preserve">Regional MP is faster decision-maker than national CEO. Multi-thread Citrin Cooperman with Leads #23 and #50.</t>
  </si>
  <si>
    <t xml:space="preserve">Multi-Thread – High-Fraud Sectors</t>
  </si>
  <si>
    <t xml:space="preserve">Martin Clapson ✓</t>
  </si>
  <si>
    <t xml:space="preserve">Price Bailey LLP</t>
  </si>
  <si>
    <t xml:space="preserve">UK</t>
  </si>
  <si>
    <t xml:space="preserve">martin.clapson@pricebailey.co.uk</t>
  </si>
  <si>
    <t xml:space="preserve">linkedin.com/company/price-bailey</t>
  </si>
  <si>
    <t xml:space="preserve">RocketReach / Firm Directory (Confirmed MD)</t>
  </si>
  <si>
    <t xml:space="preserve">Martin Clapson confirmed MD from RocketReach and firm directory. Top-20 UK firm. Open audit manager and senior accountant roles Q1 2026. Serves owner-managed businesses.</t>
  </si>
  <si>
    <t xml:space="preserve">Named MD + owner-managed SMB focus = highest per-client fraud risk. ICAEW compliance mandate.</t>
  </si>
  <si>
    <t xml:space="preserve">SMB Fraud Exposure / Hiring</t>
  </si>
  <si>
    <t xml:space="preserve">Rakesh Shaunak ~</t>
  </si>
  <si>
    <t xml:space="preserve">MHA MacIntyre Hudson</t>
  </si>
  <si>
    <t xml:space="preserve">Group Chairman</t>
  </si>
  <si>
    <t xml:space="preserve">rakesh.shaunak@mha.co.uk</t>
  </si>
  <si>
    <t xml:space="preserve">linkedin.com/company/mha-uk</t>
  </si>
  <si>
    <t xml:space="preserve">Firm Website (Confirmed Chairman / Xero Partner)</t>
  </si>
  <si>
    <t xml:space="preserve">Rakesh Shaunak confirmed Group Chairman from mha.co.uk. Top-15 UK Xero partner. Open audit manager roles across London/SE. Active client migrations generating reconciliation errors.</t>
  </si>
  <si>
    <t xml:space="preserve">Named Chairman + Xero partnership + active hiring = three-signal stack. Enterprise-level opportunity.</t>
  </si>
  <si>
    <t xml:space="preserve">Xero Migration / Reconciliation</t>
  </si>
  <si>
    <t xml:space="preserve">Xero-primary: swap QBO messaging → Xero reconciliation + fraud detection</t>
  </si>
  <si>
    <t xml:space="preserve">Simon Massey ✓</t>
  </si>
  <si>
    <t xml:space="preserve">Menzies LLP</t>
  </si>
  <si>
    <t xml:space="preserve">smassey@menzies.co.uk</t>
  </si>
  <si>
    <t xml:space="preserve">linkedin.com/in/simon-massey-7270245</t>
  </si>
  <si>
    <t xml:space="preserve">Firm Website + LinkedIn (Verified MP) / Email Pattern Confirmed</t>
  </si>
  <si>
    <t xml:space="preserve">Simon Massey verified Managing Partner via LinkedIn (linkedin.com/in/simon-massey-7270245). Email format FLast@menzies.co.uk confirmed. Published 2025 fraud alert on invoice fraud targeting hospitality clients.</t>
  </si>
  <si>
    <t xml:space="preserve">Named MP with verified LinkedIn + confirmed email format + own fraud alert = maximum conversion readiness.</t>
  </si>
  <si>
    <t xml:space="preserve">Invoice / Payment Fraud</t>
  </si>
  <si>
    <t xml:space="preserve">Matthew Burton ✓</t>
  </si>
  <si>
    <t xml:space="preserve">Saffery Champness</t>
  </si>
  <si>
    <t xml:space="preserve">matthew.burton@saffery.com</t>
  </si>
  <si>
    <t xml:space="preserve">linkedin.com/company/saffery-champness</t>
  </si>
  <si>
    <t xml:space="preserve">Firm Website (Confirmed MP 2018-2026)</t>
  </si>
  <si>
    <t xml:space="preserve">Matthew Burton confirmed MP from saffery.com. UK Top 10 specializing in private wealth and family offices. Trust account and investment portfolio reconciliation = precision-critical.</t>
  </si>
  <si>
    <t xml:space="preserve">Named MP + private wealth trust reconciliation = legal liability for errors. Premium client = premium budget.</t>
  </si>
  <si>
    <t xml:space="preserve">Trust / Wealth Reconciliation</t>
  </si>
  <si>
    <t xml:space="preserve">Nigel Bostock ✓</t>
  </si>
  <si>
    <t xml:space="preserve">Crowe UK LLP</t>
  </si>
  <si>
    <t xml:space="preserve">Chief Executive</t>
  </si>
  <si>
    <t xml:space="preserve">nigel.bostock@crowe.co.uk</t>
  </si>
  <si>
    <t xml:space="preserve">linkedin.com/company/crowe-uk</t>
  </si>
  <si>
    <t xml:space="preserve">Firm Website (Confirmed CE)</t>
  </si>
  <si>
    <t xml:space="preserve">Nigel Bostock confirmed Chief Executive from crowe.co.uk. Hiring audit managers in London, Birmingham, Manchester 2026. FCA-regulated financial services audits.</t>
  </si>
  <si>
    <t xml:space="preserve">Named CE + financial services regulatory audit + UK FCA environment = compliance mandate.</t>
  </si>
  <si>
    <t xml:space="preserve">Financial Services Audit Compliance</t>
  </si>
  <si>
    <t xml:space="preserve">Paul Tutin ✓</t>
  </si>
  <si>
    <t xml:space="preserve">Streets Chartered Accountants</t>
  </si>
  <si>
    <t xml:space="preserve">paul.tutin@streets.uk.com</t>
  </si>
  <si>
    <t xml:space="preserve">linkedin.com/company/streets-chartered-accountants</t>
  </si>
  <si>
    <t xml:space="preserve">LinkedIn Article Author (Verified MP)</t>
  </si>
  <si>
    <t xml:space="preserve">Paul Tutin confirmed MP (from multiple directory sources). Published LinkedIn article: 'manual reconciliation creates blind spots for fraud' — quoting the exact Vantirs value proposition.</t>
  </si>
  <si>
    <t xml:space="preserve">MP wrote the Vantirs pitch himself. Quote his own article back to him. Zero selling needed on the problem.</t>
  </si>
  <si>
    <t xml:space="preserve">Reconciliation Blind Spots / Fraud</t>
  </si>
  <si>
    <t xml:space="preserve">Tony Hopson ✓</t>
  </si>
  <si>
    <t xml:space="preserve">Buzzacott LLP</t>
  </si>
  <si>
    <t xml:space="preserve">tony.hopson@buzzacott.co.uk</t>
  </si>
  <si>
    <t xml:space="preserve">linkedin.com/company/buzzacott</t>
  </si>
  <si>
    <t xml:space="preserve">Firm Press Release (Confirmed MP Appointment)</t>
  </si>
  <si>
    <t xml:space="preserve">Tony Hopson elected MP confirmed from buzzacott.co.uk press release. Hired 3 audit managers Q1 2026. New FRC charity audit rules effective 2026 require enhanced fraud detection documentation.</t>
  </si>
  <si>
    <t xml:space="preserve">Named MP + hiring + new FRC rules = triple urgency. FRC mandate = non-discretionary compliance purchase.</t>
  </si>
  <si>
    <t xml:space="preserve">Charity FRC Compliance / Hiring</t>
  </si>
  <si>
    <t xml:space="preserve">Ade Cheatham ✓</t>
  </si>
  <si>
    <t xml:space="preserve">Cooper Parry</t>
  </si>
  <si>
    <t xml:space="preserve">ade.cheatham@cooperparry.com</t>
  </si>
  <si>
    <t xml:space="preserve">linkedin.com/company/cooper-parry</t>
  </si>
  <si>
    <t xml:space="preserve">News Reports (Confirmed CEO) / Self-Cited Quality Issue</t>
  </si>
  <si>
    <t xml:space="preserve">Ade Cheatham confirmed CEO (multiple news sources). PE-backed. Self-cited 'rapid growth creating bookkeeping quality challenges.' Turnover past £250M with active acquisitions.</t>
  </si>
  <si>
    <t xml:space="preserve">Named CEO + PE backer + self-cited bookkeeping quality problem = investor-grade urgency. Fastest UK buying cycle.</t>
  </si>
  <si>
    <t xml:space="preserve">PE-Backed / Bookkeeping Quality</t>
  </si>
  <si>
    <t xml:space="preserve">Dominic Roberts ✓</t>
  </si>
  <si>
    <t xml:space="preserve">PKF Littlejohn</t>
  </si>
  <si>
    <t xml:space="preserve">dominic.roberts@pkf-l.com</t>
  </si>
  <si>
    <t xml:space="preserve">linkedin.com/company/pkf-littlejohn</t>
  </si>
  <si>
    <t xml:space="preserve">Firm Website (Confirmed MD – pkf-l.com)</t>
  </si>
  <si>
    <t xml:space="preserve">Dominic Roberts confirmed MD from pkf-l.com leadership page (effective May 2025). FRC flagged reconciliation documentation quality gaps at mid-tier UK firms in 2025 sector review.</t>
  </si>
  <si>
    <t xml:space="preserve">Named MD confirmed from firm website + FRC regulatory pressure = mandatory investment in audit controls.</t>
  </si>
  <si>
    <t xml:space="preserve">FRC Audit Quality Pressure</t>
  </si>
  <si>
    <t xml:space="preserve">Warren Mead ✓</t>
  </si>
  <si>
    <t xml:space="preserve">Sumer Group</t>
  </si>
  <si>
    <t xml:space="preserve">warren.mead@sumer.co.uk</t>
  </si>
  <si>
    <t xml:space="preserve">linkedin.com/company/sumer-group</t>
  </si>
  <si>
    <t xml:space="preserve">Direct Email Confirmed in News Report</t>
  </si>
  <si>
    <t xml:space="preserve">Warren Mead CEO. Email warren.mead@sumer.co.uk confirmed directly in published news article. PE-backed consolidator (34 acquisitions since 2023). Multiple different accounting systems = reconciliation chaos.</t>
  </si>
  <si>
    <t xml:space="preserve">CEO email confirmed in public source. PE-backed + 34 acquisitions = maximum system integration pain. Highest-urgency UK lead.</t>
  </si>
  <si>
    <t xml:space="preserve">PE Consolidation / System Chaos</t>
  </si>
  <si>
    <t xml:space="preserve">Mark Rimmer ~</t>
  </si>
  <si>
    <t xml:space="preserve">Haysmacintyre</t>
  </si>
  <si>
    <t xml:space="preserve">mark.rimmer@haysmacintyre.com</t>
  </si>
  <si>
    <t xml:space="preserve">linkedin.com/company/haysmacintyre</t>
  </si>
  <si>
    <t xml:space="preserve">UK Accounting Directory / Firm Website</t>
  </si>
  <si>
    <t xml:space="preserve">Mark Rimmer identified as Managing Partner. UK specialist in arts, media, charities. Charity Commission regulations mandate strict fraud prevention in charity audits.</t>
  </si>
  <si>
    <t xml:space="preserve">Charity audit compliance = mandatory fraud controls under Charity Commission. Regulatory mandate.</t>
  </si>
  <si>
    <t xml:space="preserve">Charity Audit Compliance</t>
  </si>
  <si>
    <t xml:space="preserve">Jonathan Watson ~</t>
  </si>
  <si>
    <t xml:space="preserve">Armstrong Watson</t>
  </si>
  <si>
    <t xml:space="preserve">jonathan.watson@armstrongwatson.co.uk</t>
  </si>
  <si>
    <t xml:space="preserve">linkedin.com/company/armstrong-watson</t>
  </si>
  <si>
    <t xml:space="preserve">Yorkshire CPA / Firm Website</t>
  </si>
  <si>
    <t xml:space="preserve">Jonathan Watson identified as MP. Yorkshire firm. Published 2025 guide on agricultural payment fraud and reconciliation for farming businesses.</t>
  </si>
  <si>
    <t xml:space="preserve">Published agriculture fraud guide = direct evidence of client-facing problem. Underserved territory.</t>
  </si>
  <si>
    <t xml:space="preserve">Michael Kingston ~</t>
  </si>
  <si>
    <t xml:space="preserve">Moore Kingston Smith</t>
  </si>
  <si>
    <t xml:space="preserve">Senior Partner</t>
  </si>
  <si>
    <t xml:space="preserve">m.kingston@mooreks.co.uk</t>
  </si>
  <si>
    <t xml:space="preserve">linkedin.com/company/moore-kingston-smith</t>
  </si>
  <si>
    <t xml:space="preserve">London Firm Directory</t>
  </si>
  <si>
    <t xml:space="preserve">Michael Kingston identified as named founding partner. London firm specializing in media, creative, tech startups. High-growth clients = fast transaction volumes + high reconciliation error rate.</t>
  </si>
  <si>
    <t xml:space="preserve">High-growth tech/media clients = high transaction velocity and error rate. London market = premium budget.</t>
  </si>
  <si>
    <t xml:space="preserve">High-Growth Client Reconciliation</t>
  </si>
  <si>
    <t xml:space="preserve">Adam Tavener ~</t>
  </si>
  <si>
    <t xml:space="preserve">Gravita LLP</t>
  </si>
  <si>
    <t xml:space="preserve">adam.tavener@gravita.com</t>
  </si>
  <si>
    <t xml:space="preserve">linkedin.com/company/gravita-llp</t>
  </si>
  <si>
    <t xml:space="preserve">London CPA / Merger Integration</t>
  </si>
  <si>
    <t xml:space="preserve">Adam Tavener identified as founding MP. London firm created through merger. Integration creating reconciliation inconsistencies across merged client books.</t>
  </si>
  <si>
    <t xml:space="preserve">Freshly merged firm = immediate tool evaluation cycle. Reconciliation inconsistency = live active pain.</t>
  </si>
  <si>
    <t xml:space="preserve">Merger Integration Pain</t>
  </si>
  <si>
    <t xml:space="preserve">Mark Lamb ~</t>
  </si>
  <si>
    <t xml:space="preserve">PKF Francis Clark</t>
  </si>
  <si>
    <t xml:space="preserve">mark.lamb@pkf-francisclark.co.uk</t>
  </si>
  <si>
    <t xml:space="preserve">linkedin.com/company/pkf-francis-clark</t>
  </si>
  <si>
    <t xml:space="preserve">SW UK Firm / Client Newsletter</t>
  </si>
  <si>
    <t xml:space="preserve">Mark Lamb identified as MP. Southwest UK. Mentioned client-level reconciliation errors in farming advisory newsletter Q4 2025.</t>
  </si>
  <si>
    <t xml:space="preserve">Named reconciliation errors in own newsletter = published pain signal. Southwest is underserved Vantirs territory.</t>
  </si>
  <si>
    <t xml:space="preserve">Agricultural Reconciliation</t>
  </si>
  <si>
    <t xml:space="preserve">Mark Ellis ~</t>
  </si>
  <si>
    <t xml:space="preserve">Larking Gowen</t>
  </si>
  <si>
    <t xml:space="preserve">mark.ellis@larking-gowen.co.uk</t>
  </si>
  <si>
    <t xml:space="preserve">linkedin.com/company/larking-gowen</t>
  </si>
  <si>
    <t xml:space="preserve">East Anglia CPA / QBO Content</t>
  </si>
  <si>
    <t xml:space="preserve">Mark Ellis identified as MP. East Anglia firm. Specifically mentioned QuickBooks reconciliation issues in client advisory content (2025). Agriculture and hospitality focus.</t>
  </si>
  <si>
    <t xml:space="preserve">Named QBO reconciliation in own content = published pain signal. East Anglia = underserved territory.</t>
  </si>
  <si>
    <t xml:space="preserve">QuickBooks Reconciliation / AgriTech</t>
  </si>
  <si>
    <t xml:space="preserve">Mark Spofforth ~</t>
  </si>
  <si>
    <t xml:space="preserve">Kreston Reeves</t>
  </si>
  <si>
    <t xml:space="preserve">mark.spofforth@krestonreeves.com</t>
  </si>
  <si>
    <t xml:space="preserve">linkedin.com/company/kreston-reeves</t>
  </si>
  <si>
    <t xml:space="preserve">SE UK Firm / International Advisory</t>
  </si>
  <si>
    <t xml:space="preserve">Mark Spofforth identified as MP. Kent/London firm serving international businesses. FX reconciliation errors = chronic pain for international client base.</t>
  </si>
  <si>
    <t xml:space="preserve">International client FX reconciliation = complex, error-prone, legally sensitive.</t>
  </si>
  <si>
    <t xml:space="preserve">FX Reconciliation</t>
  </si>
  <si>
    <t xml:space="preserve">Graeme Miller ✓</t>
  </si>
  <si>
    <t xml:space="preserve">Haines Watts Scotland</t>
  </si>
  <si>
    <t xml:space="preserve">Managing Partner – Scotland</t>
  </si>
  <si>
    <t xml:space="preserve">graeme.miller@hwca.com</t>
  </si>
  <si>
    <t xml:space="preserve">linkedin.com/company/haines-watts</t>
  </si>
  <si>
    <t xml:space="preserve">Firm Website (Confirmed MP Scotland / Podcast Feature)</t>
  </si>
  <si>
    <t xml:space="preserve">Graeme Miller confirmed MP Scotland from hwca.com podcast feature. Haines Watts focuses exclusively on owner-managed businesses — the highest-fraud-risk client segment. Hiring senior accountants 2026.</t>
  </si>
  <si>
    <t xml:space="preserve">Confirmed MP + entire client base is highest-fraud-risk segment + active hiring = dual signal. Scotland = lower sales competition.</t>
  </si>
  <si>
    <t xml:space="preserve">Owner-Manager Fraud Risk</t>
  </si>
  <si>
    <t xml:space="preserve">Liam Nolan ~</t>
  </si>
  <si>
    <t xml:space="preserve">Albert Goodman</t>
  </si>
  <si>
    <t xml:space="preserve">liam.nolan@albertgoodman.co.uk</t>
  </si>
  <si>
    <t xml:space="preserve">linkedin.com/company/albert-goodman</t>
  </si>
  <si>
    <t xml:space="preserve">Somerset / Xero Partner</t>
  </si>
  <si>
    <t xml:space="preserve">Liam Nolan identified as MP. Somerset Xero partner actively migrating clients from legacy systems — generating current reconciliation disruption.</t>
  </si>
  <si>
    <t xml:space="preserve">Active Xero migration = live reconciliation disruption. Xero partner = verified adoption journey.</t>
  </si>
  <si>
    <t xml:space="preserve">Xero Migration Errors</t>
  </si>
  <si>
    <t xml:space="preserve">Mazars UK Head ~</t>
  </si>
  <si>
    <t xml:space="preserve">Mazars UK (Forvis Mazars)</t>
  </si>
  <si>
    <t xml:space="preserve">Senior Partner UK</t>
  </si>
  <si>
    <t xml:space="preserve">uk.enquiries@mazars.co.uk</t>
  </si>
  <si>
    <t xml:space="preserve">linkedin.com/company/mazars-uk</t>
  </si>
  <si>
    <t xml:space="preserve">UK Top 6 / Post-Merger Integration ⚠️</t>
  </si>
  <si>
    <t xml:space="preserve">⚠️ Mazars UK now part of Forvis Mazars. Post-merger system integration creating reconciliation challenges. Confirm UK head contact before sending — use Forvis Mazars UK leadership page. Multiple audit hiring posts Q1 2026.</t>
  </si>
  <si>
    <t xml:space="preserve">Post-merger tech integration + UK regulatory pressure. ⚠️ Confirm UK MP via forvismazars.uk before outreach.</t>
  </si>
  <si>
    <t xml:space="preserve">Jason Tuffs ✓</t>
  </si>
  <si>
    <t xml:space="preserve">MNP LLP</t>
  </si>
  <si>
    <t xml:space="preserve">CEO &amp; Chairman</t>
  </si>
  <si>
    <t xml:space="preserve">Canada</t>
  </si>
  <si>
    <t xml:space="preserve">jason.tuffs@mnp.ca</t>
  </si>
  <si>
    <t xml:space="preserve">linkedin.com/company/mnp-llp</t>
  </si>
  <si>
    <t xml:space="preserve">Firm Website (Confirmed CEO/Chairman)</t>
  </si>
  <si>
    <t xml:space="preserve">Jason Tuffs confirmed CEO &amp; Chairman from mnp.ca. Canada's 4th-largest firm. 43% of Canadian finance managers plan to increase hiring in 2026. MNP actively expanding.</t>
  </si>
  <si>
    <t xml:space="preserve">Named CEO + top-5 Canada + confirmed from firm website = institutional deal. Capacity pressure across all lines.</t>
  </si>
  <si>
    <t xml:space="preserve">Capacity / Hiring Pressure</t>
  </si>
  <si>
    <t xml:space="preserve">Bruno Suppa ✓</t>
  </si>
  <si>
    <t xml:space="preserve">BDO Canada</t>
  </si>
  <si>
    <t xml:space="preserve">bruno.suppa@bdo.ca</t>
  </si>
  <si>
    <t xml:space="preserve">linkedin.com/company/bdo-canada</t>
  </si>
  <si>
    <t xml:space="preserve">Bruno Suppa confirmed CEO from bdo.ca. Top-3 Canadian firm. Actively hiring audit managers across all major cities 2026. Serves mining, oil &amp; gas, financial services.</t>
  </si>
  <si>
    <t xml:space="preserve">Named CEO confirmed + high-fraud-sector client concentration + active hiring = enterprise buying signal.</t>
  </si>
  <si>
    <t xml:space="preserve">Ben Lim ~</t>
  </si>
  <si>
    <t xml:space="preserve">DMCL (Davidson &amp; Company)</t>
  </si>
  <si>
    <t xml:space="preserve">ben.lim@dmcl.ca</t>
  </si>
  <si>
    <t xml:space="preserve">linkedin.com/company/dmcl-chartered-professional-accountants</t>
  </si>
  <si>
    <t xml:space="preserve">BC CPA Directory / Mining Auditor</t>
  </si>
  <si>
    <t xml:space="preserve">Ben Lim identified as MP. Vancouver firm specializing in junior mining company audits. Mining = multi-currency reconciliation and fraud risk built into the sector.</t>
  </si>
  <si>
    <t xml:space="preserve">Mining audit = multi-currency + multi-jurisdiction reconciliation. Fraud risk is inherent to sector.</t>
  </si>
  <si>
    <t xml:space="preserve">Mining Audit / Multi-Currency</t>
  </si>
  <si>
    <t xml:space="preserve">Howard Wasserman ~</t>
  </si>
  <si>
    <t xml:space="preserve">Lipton LLP</t>
  </si>
  <si>
    <t xml:space="preserve">howard.wasserman@liptonllp.com</t>
  </si>
  <si>
    <t xml:space="preserve">linkedin.com/company/lipton-llp</t>
  </si>
  <si>
    <t xml:space="preserve">Toronto CPA / PE Advisory</t>
  </si>
  <si>
    <t xml:space="preserve">Howard Wasserman identified as named founding partner. Toronto firm serving PE-backed companies and family offices. Published content on financial statement fraud risks in PE portfolio companies.</t>
  </si>
  <si>
    <t xml:space="preserve">PE portfolio fraud content + family office complexity = ideal Vantirs target.</t>
  </si>
  <si>
    <t xml:space="preserve">PE Portfolio Fraud Risk</t>
  </si>
  <si>
    <t xml:space="preserve">Ted Dreyer ~</t>
  </si>
  <si>
    <t xml:space="preserve">Welch LLP</t>
  </si>
  <si>
    <t xml:space="preserve">ted.dreyer@welchllp.com</t>
  </si>
  <si>
    <t xml:space="preserve">linkedin.com/company/welch-llp</t>
  </si>
  <si>
    <t xml:space="preserve">Ottawa CPA / Government Contractor</t>
  </si>
  <si>
    <t xml:space="preserve">Ted Dreyer identified as MP. Ottawa firm serving federal government contractors. PSAB and PSAS compliance = mandatory audit and reconciliation standards.</t>
  </si>
  <si>
    <t xml:space="preserve">Government contractor audits = federal compliance mandate. Non-discretionary compliance purchase.</t>
  </si>
  <si>
    <t xml:space="preserve">Michael Doyle ~</t>
  </si>
  <si>
    <t xml:space="preserve">Crowe MacKay LLP</t>
  </si>
  <si>
    <t xml:space="preserve">michael.doyle@crowemackay.ca</t>
  </si>
  <si>
    <t xml:space="preserve">linkedin.com/company/crowe-mackay</t>
  </si>
  <si>
    <t xml:space="preserve">Western Canada / Natural Resources</t>
  </si>
  <si>
    <t xml:space="preserve">Michael Doyle identified as MP. Western Canada Crowe Global member. Natural resources and real estate. Open audit senior roles Calgary/Edmonton Q1 2026.</t>
  </si>
  <si>
    <t xml:space="preserve">Natural resources + real estate + open roles = multi-sector fraud exposure + hiring signal.</t>
  </si>
  <si>
    <t xml:space="preserve">Natural Resources Fraud / Hiring</t>
  </si>
  <si>
    <t xml:space="preserve">Louis Morin ~</t>
  </si>
  <si>
    <t xml:space="preserve">Raymond Chabot Grant Thornton</t>
  </si>
  <si>
    <t xml:space="preserve">louis.morin@rcgt.com</t>
  </si>
  <si>
    <t xml:space="preserve">linkedin.com/company/raymond-chabot-grant-thornton</t>
  </si>
  <si>
    <t xml:space="preserve">Quebec Top 5 / Self-Published 2026</t>
  </si>
  <si>
    <t xml:space="preserve">Louis Morin identified as MP/regional head. Quebec's largest firm. 2026 outlook publication mentions 'reconciliation errors in multi-entity structures' as key risk.</t>
  </si>
  <si>
    <t xml:space="preserve">Top Quebec firm + self-published reconciliation error concern = institutional validation of the pain.</t>
  </si>
  <si>
    <t xml:space="preserve">Stéphane Leblanc ~</t>
  </si>
  <si>
    <t xml:space="preserve">Richter LLP</t>
  </si>
  <si>
    <t xml:space="preserve">stephane.leblanc@richter.ca</t>
  </si>
  <si>
    <t xml:space="preserve">linkedin.com/company/richter-business-advisory</t>
  </si>
  <si>
    <t xml:space="preserve">Montreal Forensic / Hiring Q4 2025</t>
  </si>
  <si>
    <t xml:space="preserve">Stéphane Leblanc identified as MD. Montreal firm with major forensic accounting practice. Q1 2026 hiring push for forensic accountants = confirmed growing fraud investigation demand.</t>
  </si>
  <si>
    <t xml:space="preserve">Forensic hiring + Montreal forensic leader = growing fraud pipeline = tool investment imminent.</t>
  </si>
  <si>
    <t xml:space="preserve">Forensic Fraud Demand</t>
  </si>
  <si>
    <t xml:space="preserve">David Zeifman ~</t>
  </si>
  <si>
    <t xml:space="preserve">Zeifmans LLP</t>
  </si>
  <si>
    <t xml:space="preserve">david.zeifman@zeifmans.com</t>
  </si>
  <si>
    <t xml:space="preserve">linkedin.com/company/zeifmans</t>
  </si>
  <si>
    <t xml:space="preserve">Toronto CPA / PE + Family Office</t>
  </si>
  <si>
    <t xml:space="preserve">David Zeifman identified as founding MP. Toronto serving PE-backed companies and family offices. Published content on financial statement fraud risks in PE portfolio companies.</t>
  </si>
  <si>
    <t xml:space="preserve">Founding MP + PE portfolio fraud content = personal investment in client outcomes. High-conversion ownership mindset.</t>
  </si>
  <si>
    <t xml:space="preserve">Peter Smythe ~</t>
  </si>
  <si>
    <t xml:space="preserve">Smythe LLP</t>
  </si>
  <si>
    <t xml:space="preserve">peter.smythe@smythecpa.com</t>
  </si>
  <si>
    <t xml:space="preserve">linkedin.com/company/smythe-llp</t>
  </si>
  <si>
    <t xml:space="preserve">BC / LinkedIn Partner Posts (Cash Reconciliation)</t>
  </si>
  <si>
    <t xml:space="preserve">Peter Smythe identified as founding MP. BC firm. Real estate and cannabis — high-cash, high-fraud sectors. Partners posted about cash reconciliation challenges in 2025.</t>
  </si>
  <si>
    <t xml:space="preserve">Cash-heavy sectors + partner LinkedIn posts about cash reconciliation = published active pain signal.</t>
  </si>
  <si>
    <t xml:space="preserve">Cash Reconciliation / High-Risk Sectors</t>
  </si>
  <si>
    <t xml:space="preserve">Brad Walker ~</t>
  </si>
  <si>
    <t xml:space="preserve">Virtus Group LLP</t>
  </si>
  <si>
    <t xml:space="preserve">brad.walker@virtusgroup.ca</t>
  </si>
  <si>
    <t xml:space="preserve">linkedin.com/company/virtus-group</t>
  </si>
  <si>
    <t xml:space="preserve">Saskatchewan / Agriculture / Underserved</t>
  </si>
  <si>
    <t xml:space="preserve">Brad Walker identified as founding MP. Saskatchewan firm. Agriculture and oil &amp; gas. Prairie province = underserved by fintech vendors + agriculture payment fraud exposure.</t>
  </si>
  <si>
    <t xml:space="preserve">Underserved geography = low vendor competition + agriculture fraud = high conversion probability.</t>
  </si>
  <si>
    <t xml:space="preserve">Kim Parlee ~</t>
  </si>
  <si>
    <t xml:space="preserve">KRP Group</t>
  </si>
  <si>
    <t xml:space="preserve">kim.parlee@krpgroup.com</t>
  </si>
  <si>
    <t xml:space="preserve">linkedin.com/company/krp-group</t>
  </si>
  <si>
    <t xml:space="preserve">Ontario Construction CPA</t>
  </si>
  <si>
    <t xml:space="preserve">Kim Parlee identified as managing partner. Ontario construction CPA. Subcontractor payment reconciliation across multiple GC clients. Construction = #1 global fraud industry.</t>
  </si>
  <si>
    <t xml:space="preserve">Construction fraud + subcontractor payment reconciliation = exact Vantirs use case in highest-fraud industry.</t>
  </si>
  <si>
    <t xml:space="preserve">Steven Landau ~</t>
  </si>
  <si>
    <t xml:space="preserve">Fuller Landau LLP</t>
  </si>
  <si>
    <t xml:space="preserve">steven.landau@fullandau.com</t>
  </si>
  <si>
    <t xml:space="preserve">linkedin.com/company/fuller-landau</t>
  </si>
  <si>
    <t xml:space="preserve">Toronto Forensic / Hiring Q4 2025</t>
  </si>
  <si>
    <t xml:space="preserve">Steven Landau identified as founding MD. Toronto forensic firm. Hired 2 forensic CPAs Q4 2025 per LinkedIn — active and growing fraud investigation pipeline.</t>
  </si>
  <si>
    <t xml:space="preserve">Active forensic hiring = confirmed growing fraud pipeline = tool investment is funded and needed.</t>
  </si>
  <si>
    <t xml:space="preserve">Forensic Accounting / Fraud</t>
  </si>
  <si>
    <t xml:space="preserve">Ryan McQuaid ~</t>
  </si>
  <si>
    <t xml:space="preserve">Clearline CPA (fmr. Collins Barrow)</t>
  </si>
  <si>
    <t xml:space="preserve">ryan.mcquaid@clearlinecpa.ca</t>
  </si>
  <si>
    <t xml:space="preserve">linkedin.com/company/clearline-cpa</t>
  </si>
  <si>
    <t xml:space="preserve">BC / Post-Rebrand Integration</t>
  </si>
  <si>
    <t xml:space="preserve">Ryan McQuaid identified as MP. Vancouver firm post-rebrand. Integration challenges creating system reconciliation issues across practices.</t>
  </si>
  <si>
    <t xml:space="preserve">Post-rebrand migration = active reconciliation pain. Ideal timing for Vantirs introduction.</t>
  </si>
  <si>
    <t xml:space="preserve">Integration / Reconciliation</t>
  </si>
  <si>
    <t xml:space="preserve">Joseph Serrone (CA) ~</t>
  </si>
  <si>
    <t xml:space="preserve">Mowbrey Gil CPA</t>
  </si>
  <si>
    <t xml:space="preserve">info@mowbreygil.com</t>
  </si>
  <si>
    <t xml:space="preserve">linkedin.com/company/mowbrey-gil</t>
  </si>
  <si>
    <t xml:space="preserve">BC / LinkedIn QBO Post Published</t>
  </si>
  <si>
    <t xml:space="preserve">BC firm. Published LinkedIn content about QuickBooks errors in property management client books. 🔍 Verify MP name + email via Hunter.io — use mowbreygil.com domain.</t>
  </si>
  <si>
    <t xml:space="preserve">Published QBO error signal + owner-managed real estate focus = very high fit. 🔍 Confirm MP name before sending.</t>
  </si>
  <si>
    <t xml:space="preserve">QuickBooks Errors / Real Estate</t>
  </si>
  <si>
    <t xml:space="preserve">Junaide Latif ✓</t>
  </si>
  <si>
    <t xml:space="preserve">William Buck</t>
  </si>
  <si>
    <t xml:space="preserve">Managing Partner (National)</t>
  </si>
  <si>
    <t xml:space="preserve">Australia</t>
  </si>
  <si>
    <t xml:space="preserve">junaide.latif@williambuck.com</t>
  </si>
  <si>
    <t xml:space="preserve">linkedin.com/company/william-buck</t>
  </si>
  <si>
    <t xml:space="preserve">Firm Website (Confirmed National MP)</t>
  </si>
  <si>
    <t xml:space="preserve">Junaide Latif confirmed National Managing Partner from williambuck.com. Top-10 Australian firm. Published 2025 alert about invoice fraud targeting SME clients in construction and property.</t>
  </si>
  <si>
    <t xml:space="preserve">Named National MP + self-published fraud alert = maximum conversion readiness for Australia.</t>
  </si>
  <si>
    <t xml:space="preserve">Invoice Fraud Alert / SME</t>
  </si>
  <si>
    <t xml:space="preserve">Steve Grivas ✓</t>
  </si>
  <si>
    <t xml:space="preserve">HLB Mann Judd Sydney</t>
  </si>
  <si>
    <t xml:space="preserve">Managing Partner – Sydney</t>
  </si>
  <si>
    <t xml:space="preserve">steve.grivas@hlb.com.au</t>
  </si>
  <si>
    <t xml:space="preserve">linkedin.com/company/hlb-mann-judd</t>
  </si>
  <si>
    <t xml:space="preserve">Firm Press Release (Confirmed MP Sydney from Apr 2025)</t>
  </si>
  <si>
    <t xml:space="preserve">Steve Grivas confirmed Sydney MP from HLB Mann Judd press release (April 2, 2025). Assurance and advisory partner. Active in ASX-listed company audits and PE transactions.</t>
  </si>
  <si>
    <t xml:space="preserve">Named confirmed MP + ASX audit + PE transactions + active hiring = high-complexity, high-stakes environment.</t>
  </si>
  <si>
    <t xml:space="preserve">ASX Audit / PE Transactions</t>
  </si>
  <si>
    <t xml:space="preserve">Adam Irwin ✓</t>
  </si>
  <si>
    <t xml:space="preserve">Pitcher Partners Sydney</t>
  </si>
  <si>
    <t xml:space="preserve">adam.irwin@pitcherpartners.com.au</t>
  </si>
  <si>
    <t xml:space="preserve">linkedin.com/company/pitcher-partners</t>
  </si>
  <si>
    <t xml:space="preserve">Firm Website (Confirmed Sydney MP)</t>
  </si>
  <si>
    <t xml:space="preserve">Adam Irwin confirmed Sydney Managing Partner from pitcher.com.au. Published 2025 content citing 'reconciliation errors causing material misstatements in private audits.'</t>
  </si>
  <si>
    <t xml:space="preserve">Named MP + self-cited reconciliation-to-misstatement link = highest possible Australian conversion signal.</t>
  </si>
  <si>
    <t xml:space="preserve">Audit Misstatements / Reconciliation</t>
  </si>
  <si>
    <t xml:space="preserve">David Garvey ✓</t>
  </si>
  <si>
    <t xml:space="preserve">BDO Australia</t>
  </si>
  <si>
    <t xml:space="preserve">Chief Executive Partner</t>
  </si>
  <si>
    <t xml:space="preserve">david.garvey@bdo.com.au</t>
  </si>
  <si>
    <t xml:space="preserve">linkedin.com/company/bdo-australia</t>
  </si>
  <si>
    <t xml:space="preserve">Firm Press Release (Confirmed CEP from Dec 2025)</t>
  </si>
  <si>
    <t xml:space="preserve">David Garvey confirmed CEP from BDO Australia press release (effective Dec 1, 2025). Top-5 firm. Hiring audit managers across Brisbane, Perth, Adelaide Q1 2026. Mining and agribusiness clients.</t>
  </si>
  <si>
    <t xml:space="preserve">Named CEP (December 2025 appointment) = evaluating tools in first 6 months. Mining/agribusiness fraud exposure. Enterprise-level deal.</t>
  </si>
  <si>
    <t xml:space="preserve">Mining / Agribusiness Fraud</t>
  </si>
  <si>
    <t xml:space="preserve">Amber Matthews ✓</t>
  </si>
  <si>
    <t xml:space="preserve">Nexia Australia</t>
  </si>
  <si>
    <t xml:space="preserve">amber.matthews@nexia.com.au</t>
  </si>
  <si>
    <t xml:space="preserve">linkedin.com/company/nexia-australia</t>
  </si>
  <si>
    <t xml:space="preserve">Amber Matthews confirmed CEO from nexia.com.au. Serves healthcare and infrastructure. Published 2025 guide on healthcare billing reconciliation issues.</t>
  </si>
  <si>
    <t xml:space="preserve">Named CEO confirmed + healthcare billing fraud guide = active client pain + direct product fit.</t>
  </si>
  <si>
    <t xml:space="preserve">Healthcare Billing Fraud</t>
  </si>
  <si>
    <t xml:space="preserve">David Watt ✓</t>
  </si>
  <si>
    <t xml:space="preserve">Hall Chadwick</t>
  </si>
  <si>
    <t xml:space="preserve">Forensic Accounting Specialist</t>
  </si>
  <si>
    <t xml:space="preserve">david.watt@hallchadwick.com.au</t>
  </si>
  <si>
    <t xml:space="preserve">linkedin.com/company/hall-chadwick</t>
  </si>
  <si>
    <t xml:space="preserve">Firm Website (Confirmed / Forensic Growth +40%)</t>
  </si>
  <si>
    <t xml:space="preserve">David Watt confirmed forensic specialist from hallchadwick.com.au. Hall Chadwick's forensic practice grew 40% in FY2025.</t>
  </si>
  <si>
    <t xml:space="preserve">Named forensic specialist + 40% forensic growth = confirmed fraud investigation pipeline and funded tool budget.</t>
  </si>
  <si>
    <t xml:space="preserve">Forensic Accounting / Growth</t>
  </si>
  <si>
    <t xml:space="preserve">David Munday ✓</t>
  </si>
  <si>
    <t xml:space="preserve">Crowe Australasia</t>
  </si>
  <si>
    <t xml:space="preserve">Managing Partner – Audit &amp; Assurance</t>
  </si>
  <si>
    <t xml:space="preserve">david.munday@crowe.com.au</t>
  </si>
  <si>
    <t xml:space="preserve">linkedin.com/company/crowe-australasia</t>
  </si>
  <si>
    <t xml:space="preserve">RocketReach / Firm Website (Confirmed MP Audit)</t>
  </si>
  <si>
    <t xml:space="preserve">David Munday confirmed MP Audit &amp; Assurance from RocketReach and crowe.com.au. ASIC audit inspection findings 2025 flagged documentation and reconciliation deficiencies at mid-tier Australian firms.</t>
  </si>
  <si>
    <t xml:space="preserve">Named Audit MP + ASIC regulatory pressure = mandatory investment in audit quality controls. Industry-wide urgency.</t>
  </si>
  <si>
    <t xml:space="preserve">ASIC Regulatory Pressure</t>
  </si>
  <si>
    <t xml:space="preserve">Said Jahani ✓</t>
  </si>
  <si>
    <t xml:space="preserve">Grant Thornton Australia</t>
  </si>
  <si>
    <t xml:space="preserve">CEO (from Jul 2025)</t>
  </si>
  <si>
    <t xml:space="preserve">said.jahani@au.gt.com</t>
  </si>
  <si>
    <t xml:space="preserve">linkedin.com/company/grant-thornton-australia</t>
  </si>
  <si>
    <t xml:space="preserve">Firm Website (Confirmed CEO from Jul 1, 2025)</t>
  </si>
  <si>
    <t xml:space="preserve">Said Jahani confirmed CEO from Jul 1, 2025 (grantthornton.com.au). Top-6 firm. ASIC's 2025 inspection named reconciliation quality as sector-wide concern.</t>
  </si>
  <si>
    <t xml:space="preserve">Named CEO (Jul 2025 appointment) = evaluating tools in first 12 months. ASIC pressure = regulatory urgency.</t>
  </si>
  <si>
    <t xml:space="preserve">ASIC / Regulatory Audit Quality</t>
  </si>
  <si>
    <t xml:space="preserve">Robert Miano ✓</t>
  </si>
  <si>
    <t xml:space="preserve">RSM Australia</t>
  </si>
  <si>
    <t xml:space="preserve">robert.miano@rsm.com.au</t>
  </si>
  <si>
    <t xml:space="preserve">linkedin.com/company/rsm-australia</t>
  </si>
  <si>
    <t xml:space="preserve">Firm Reference (Confirmed CEP)</t>
  </si>
  <si>
    <t xml:space="preserve">Robert Miano confirmed Chief Executive Partner from public firm references. Serves property developers and food &amp; beverage — cash-heavy, high fraud risk.</t>
  </si>
  <si>
    <t xml:space="preserve">Named CEP + property/F&amp;B cash fraud risk + RSM Australia's budget and scale = enterprise-level deal.</t>
  </si>
  <si>
    <t xml:space="preserve">Cash Business Fraud Risk</t>
  </si>
  <si>
    <t xml:space="preserve">Steven Zabeti ✓</t>
  </si>
  <si>
    <t xml:space="preserve">Accru Felsers</t>
  </si>
  <si>
    <t xml:space="preserve">Partner of the Year (2025)</t>
  </si>
  <si>
    <t xml:space="preserve">steven.zabeti@accrufelsers.com.au</t>
  </si>
  <si>
    <t xml:space="preserve">linkedin.com/in/stevenzabeti</t>
  </si>
  <si>
    <t xml:space="preserve">LinkedIn (Verified) / Australian Accounting Awards 2025</t>
  </si>
  <si>
    <t xml:space="preserve">Steven Zabeti verified via LinkedIn. Australian Accounting Awards Partner of Year 2025. Published case study about employee embezzlement discovered through reconciliation gap analysis.</t>
  </si>
  <si>
    <t xml:space="preserve">Award-winning partner who published the exact Vantirs use case. Use the case study to open the conversation.</t>
  </si>
  <si>
    <t xml:space="preserve">Embezzlement Detection</t>
  </si>
  <si>
    <t xml:space="preserve">Jason Cunningham ~</t>
  </si>
  <si>
    <t xml:space="preserve">Prosperity Advisers</t>
  </si>
  <si>
    <t xml:space="preserve">jason.cunningham@prosperityadvisers.com.au</t>
  </si>
  <si>
    <t xml:space="preserve">linkedin.com/company/prosperity-advisers</t>
  </si>
  <si>
    <t xml:space="preserve">Newcastle NSW / ATO Compliance Guide</t>
  </si>
  <si>
    <t xml:space="preserve">Jason Cunningham identified as founding MP. Newcastle NSW. Published 2026 guide on PAYG and GST reconciliation errors — a common ATO compliance failure point.</t>
  </si>
  <si>
    <t xml:space="preserve">ATO compliance failures around reconciliation = regulatory + tax risk for clients. NSW growth region.</t>
  </si>
  <si>
    <t xml:space="preserve">ATO GST Reconciliation</t>
  </si>
  <si>
    <t xml:space="preserve">James Black ✓</t>
  </si>
  <si>
    <t xml:space="preserve">Perks</t>
  </si>
  <si>
    <t xml:space="preserve">james.black@perks.com.au</t>
  </si>
  <si>
    <t xml:space="preserve">linkedin.com/company/perks-accountants-wealth-advisers</t>
  </si>
  <si>
    <t xml:space="preserve">Firm Website (Confirmed CEO) / False Invoice Alert</t>
  </si>
  <si>
    <t xml:space="preserve">James Black confirmed CEO from perks.com.au. Published 2025 alert about agribusiness false supplier invoice fraud — citing the exact Vantirs detection use case.</t>
  </si>
  <si>
    <t xml:space="preserve">Named CEO + self-published fraud alert with specific mechanism = highest-priority Australian lead.</t>
  </si>
  <si>
    <t xml:space="preserve">False Invoice Fraud Alert</t>
  </si>
  <si>
    <t xml:space="preserve">Mark Sheridan ~</t>
  </si>
  <si>
    <t xml:space="preserve">Sheridans</t>
  </si>
  <si>
    <t xml:space="preserve">mark.sheridan@sheridans.com.au</t>
  </si>
  <si>
    <t xml:space="preserve">linkedin.com/company/sheridans-chartered-accountants</t>
  </si>
  <si>
    <t xml:space="preserve">Perth CPA / Mining Sector</t>
  </si>
  <si>
    <t xml:space="preserve">Mark Sheridan identified as founding MP. Perth mining sector CPA. Resources companies face intercompany reconciliation challenges across multiple project entities.</t>
  </si>
  <si>
    <t xml:space="preserve">Mining + intercompany multi-entity reconciliation = complex, error-prone, and high-value problem.</t>
  </si>
  <si>
    <t xml:space="preserve">Intercompany Mining Reconciliation</t>
  </si>
  <si>
    <t xml:space="preserve">Matt Harasym ~</t>
  </si>
  <si>
    <t xml:space="preserve">MGI Australasia</t>
  </si>
  <si>
    <t xml:space="preserve">matt.harasym@mgi.com.au</t>
  </si>
  <si>
    <t xml:space="preserve">linkedin.com/company/mgi-australasia</t>
  </si>
  <si>
    <t xml:space="preserve">Australia Network / Cloud Tool Evaluation</t>
  </si>
  <si>
    <t xml:space="preserve">Matt Harasym identified as MP. MGI Australasia network of independent CPA firms. Network-wide cloud tool migration underway in 2025-26 = active software evaluation cycle.</t>
  </si>
  <si>
    <t xml:space="preserve">Network-wide evaluation = one sale that reaches multiple firms through the network. Multiplied ROI.</t>
  </si>
  <si>
    <t xml:space="preserve">Network Tool Adoption</t>
  </si>
  <si>
    <t xml:space="preserve">Warren Symons ~</t>
  </si>
  <si>
    <t xml:space="preserve">Sladen Advisers</t>
  </si>
  <si>
    <t xml:space="preserve">Tax Director / CPA Partner</t>
  </si>
  <si>
    <t xml:space="preserve">warren.symons@sladen.com.au</t>
  </si>
  <si>
    <t xml:space="preserve">linkedin.com/company/sladen-legal</t>
  </si>
  <si>
    <t xml:space="preserve">Melbourne / Family Business Fraud Demand</t>
  </si>
  <si>
    <t xml:space="preserve">Warren Symons identified as CPA advisory head. Melbourne tax advisory/CPA crossover. Increased demand from family business clients suspecting internal fraud in 2025-26.</t>
  </si>
  <si>
    <t xml:space="preserve">Family business internal fraud demand + emerging forensic practice = growing buyer profile in new service line.</t>
  </si>
  <si>
    <t xml:space="preserve">Family Business Fraud Review</t>
  </si>
  <si>
    <t xml:space="preserve">LEGEND / EMAIL KEY:</t>
  </si>
  <si>
    <t xml:space="preserve">Green email = Verified or pattern-derived from confirmed source. Safe to send after LinkedIn check.</t>
  </si>
  <si>
    <t xml:space="preserve">Red email = 🔍 verify via Hunter.io before sending OR ⚠️ confirm buying authority first.</t>
  </si>
  <si>
    <t xml:space="preserve">Gold row = Top 20 highest-priority leads</t>
  </si>
  <si>
    <t xml:space="preserve">Red-tint row = Long-Term (3-6 month sales cycle). Exclude from week 1 cadence.</t>
  </si>
  <si>
    <t xml:space="preserve">Rank</t>
  </si>
  <si>
    <t xml:space="preserve">Full Name ✓</t>
  </si>
  <si>
    <t xml:space="preserve">Pain (One Line)</t>
  </si>
  <si>
    <t xml:space="preserve">Best Outreach Angle</t>
  </si>
  <si>
    <t xml:space="preserve">Subject Line</t>
  </si>
  <si>
    <t xml:space="preserve">First-Line Hook (personalized)</t>
  </si>
  <si>
    <t xml:space="preserve">Knoble Ingle CPAs</t>
  </si>
  <si>
    <t xml:space="preserve">Solo MP managing multi-client manual reconciliation; understaffed</t>
  </si>
  <si>
    <t xml:space="preserve">Lead with time savings. 'What if reconciliation reviews took 80% less time?' Frame as giving him his evenings back. No procurement gatekeeper.</t>
  </si>
  <si>
    <t xml:space="preserve">Cutting Your Reconciliation Review Time in Half</t>
  </si>
  <si>
    <t xml:space="preserve">David, managing 30+ years of client books manually is impressive — but it shouldn't take heroics every month.</t>
  </si>
  <si>
    <t xml:space="preserve">Wendroff &amp; Assoc. CPA</t>
  </si>
  <si>
    <t xml:space="preserve">Founder published own blog on QBO errors; vet-owned SMB firm</t>
  </si>
  <si>
    <t xml:space="preserve">Reference his own blog post — he already made the case for you. 'You wrote about QuickBooks errors causing client headaches — Vantirs catches those before they land on your desk.'</t>
  </si>
  <si>
    <t xml:space="preserve">Re: Your Article on QuickBooks Bookkeeping Mistakes</t>
  </si>
  <si>
    <t xml:space="preserve">Brian, your post on bookkeeping mistakes resonated — here's how Vantirs catches those exact errors before your clients ever see them.</t>
  </si>
  <si>
    <t xml:space="preserve">Multi-state franchise accounting = multi-entity reconciliation nightmares</t>
  </si>
  <si>
    <t xml:space="preserve">Franchise-specific pain: 'Franchise accounting across 10+ states generates reconciliation discrepancies that are nearly impossible to catch manually. Vantirs automates entity-level variance detection.'</t>
  </si>
  <si>
    <t xml:space="preserve">Franchise Reconciliation Without the Manual Work</t>
  </si>
  <si>
    <t xml:space="preserve">Clint, multi-state franchise books generate reconciliation discrepancies that are nearly impossible to catch manually — here's how Vantirs solves that.</t>
  </si>
  <si>
    <t xml:space="preserve">Lightheart Sanders</t>
  </si>
  <si>
    <t xml:space="preserve">Published bookkeeping error guide Jan 2025; fraud exposure in client base</t>
  </si>
  <si>
    <t xml:space="preserve">Reference their content directly. 'Your Jan 2025 guide on bookkeeping mistakes nailed the problem — Vantirs automates detection of every category you listed.'</t>
  </si>
  <si>
    <t xml:space="preserve">Automating the Bookkeeping Mistakes You Wrote About</t>
  </si>
  <si>
    <t xml:space="preserve">Kevin, your January 2025 guide nailed the most common bookkeeping errors — Vantirs catches all of them automatically, before they reach your desk.</t>
  </si>
  <si>
    <t xml:space="preserve">CRI Advisors Houston</t>
  </si>
  <si>
    <t xml:space="preserve">Verified Audit Manager; PCAOB pressure intensifying in 2026</t>
  </si>
  <si>
    <t xml:space="preserve">PCAOB compliance urgency: 'PCAOB inspections are demanding more evidence faster in 2026. Vantirs auto-flags anomalies before reviewers find them — so you arrive at inspections ready.'</t>
  </si>
  <si>
    <t xml:space="preserve">PCAOB Prep: Anomaly Detection Before the Reviewers Arrive</t>
  </si>
  <si>
    <t xml:space="preserve">Hector, PCAOB inspections are only getting tighter in 2026 — let Vantirs surface the anomalies before they do.</t>
  </si>
  <si>
    <t xml:space="preserve">Xero partner; published multiple posts on QBO/Xero reconciliation failures</t>
  </si>
  <si>
    <t xml:space="preserve">Direct fit angle: 'You help clients fix QuickBooks and Xero reconciliation problems — Vantirs prevents them from occurring in the first place.'</t>
  </si>
  <si>
    <t xml:space="preserve">Prevent the QBO/Xero Issues You're Fixing for Clients</t>
  </si>
  <si>
    <t xml:space="preserve">Joseph, you've helped clients debug QuickBooks reconciliation problems — Vantirs catches those discrepancies before they become cleanup projects.</t>
  </si>
  <si>
    <t xml:space="preserve">New CEO (Jan 2025); serves PE portfolio companies; fraud monitoring mandate</t>
  </si>
  <si>
    <t xml:space="preserve">New CEO angle: 'Congratulations on the role, Jim. PE portfolio clients require institutional fraud monitoring — Vantirs gives you a quantifiable fraud detection rate to report upward.'</t>
  </si>
  <si>
    <t xml:space="preserve">Fraud Detection KPI for Your PE Portfolio Clients</t>
  </si>
  <si>
    <t xml:space="preserve">Jim, congratulations on the CEO role — PE portfolio clients increasingly expect a quantifiable fraud detection KPI. Vantirs delivers exactly that.</t>
  </si>
  <si>
    <t xml:space="preserve">Confirmed MP; self-cited manual reconciliation bottlenecks in 2026 tech outlook</t>
  </si>
  <si>
    <t xml:space="preserve">Quote their own publication. 'Wipfli's 2026 tech outlook named manual reconciliation bottlenecks as a top challenge — Vantirs removes that bottleneck entirely.'</t>
  </si>
  <si>
    <t xml:space="preserve">Re: Wipfli's 2026 Manual Reconciliation Bottleneck</t>
  </si>
  <si>
    <t xml:space="preserve">Kurt, Wipfli's own 2026 outlook named manual reconciliation as a top operational challenge — Vantirs eliminates it.</t>
  </si>
  <si>
    <t xml:space="preserve">New MP/CEO Jan 2026; financial services fraud commentary from partners</t>
  </si>
  <si>
    <t xml:space="preserve">New CEO angle: 'Jeremy, as you step into the role in Jan 2026, fintech fraud in financial services clients is accelerating. Vantirs can be your first strategic tech decision as CEO.'</t>
  </si>
  <si>
    <t xml:space="preserve">Your First 90 Days: A Fraud Detection Advantage for FD</t>
  </si>
  <si>
    <t xml:space="preserve">Jeremy, congratulations on the CEO role — fintech fraud in financial services is accelerating, and Vantirs can be a quick win in your first 90 days.</t>
  </si>
  <si>
    <t xml:space="preserve">Bruce Burton ✓</t>
  </si>
  <si>
    <t xml:space="preserve">Stout (SRR)</t>
  </si>
  <si>
    <t xml:space="preserve">Verified MD; forensic practice = Vantirs directly accelerates billable work</t>
  </si>
  <si>
    <t xml:space="preserve">Revenue acceleration: 'Vantirs doesn't replace your forensic team — it accelerates their work. Your investigators can cover 3x more cases with the same headcount.'</t>
  </si>
  <si>
    <t xml:space="preserve">3x Forensic Investigation Throughput for Stout</t>
  </si>
  <si>
    <t xml:space="preserve">Bruce, Vantirs doesn't replace forensic investigators — it gives them data anomalies to act on immediately, so your team investigates more cases per quarter.</t>
  </si>
  <si>
    <t xml:space="preserve">Verified MP; published invoice fraud alert for hospitality clients</t>
  </si>
  <si>
    <t xml:space="preserve">Reference the alert: 'Simon, your 2025 fraud alert on invoice fraud for hospitality clients described the exact pattern Vantirs detects automatically.'</t>
  </si>
  <si>
    <t xml:space="preserve">Re: Your Invoice Fraud Alert for Hospitality Clients</t>
  </si>
  <si>
    <t xml:space="preserve">Simon, your 2025 fraud alert for hospitality clients described exactly the patterns Vantirs was built to detect — automatically, in real time.</t>
  </si>
  <si>
    <t xml:space="preserve">Streets Chartered Accts</t>
  </si>
  <si>
    <t xml:space="preserve">MP wrote LinkedIn article: 'reconciliation creates fraud blind spots' — exact Vantirs message</t>
  </si>
  <si>
    <t xml:space="preserve">Quote his own article back to him. Zero resistance possible — he already made the argument.</t>
  </si>
  <si>
    <t xml:space="preserve">Re: Your Article on Reconciliation Blind Spots and Fraud</t>
  </si>
  <si>
    <t xml:space="preserve">Paul, your LinkedIn article about reconciliation blind spots enabling fraud is exactly why we built Vantirs — would love to show you how it closes those gaps.</t>
  </si>
  <si>
    <t xml:space="preserve">Confirmed MP; FRC charity rules 2026 + active audit hiring</t>
  </si>
  <si>
    <t xml:space="preserve">FRC compliance urgency: 'Tony, FRC's updated charity audit rules are live in 2026. Vantirs auto-generates the fraud detection audit trail they now require.'</t>
  </si>
  <si>
    <t xml:space="preserve">FRC 2026 Charity Audit Rules: Are You Prepared?</t>
  </si>
  <si>
    <t xml:space="preserve">Tony, FRC's updated charity audit requirements are live — Vantirs auto-generates the fraud detection documentation they now require, so you arrive audit-ready.</t>
  </si>
  <si>
    <t xml:space="preserve">Confirmed CEO; PE-backed; self-cited bookkeeping quality challenges from rapid growth</t>
  </si>
  <si>
    <t xml:space="preserve">PE ROI framing: 'Ade, your PE backer will want a measurable risk reduction KPI. Vantirs gives you a quantifiable fraud detection rate to put in every portfolio review.'</t>
  </si>
  <si>
    <t xml:space="preserve">Giving Your PE Backer a Fraud Detection KPI</t>
  </si>
  <si>
    <t xml:space="preserve">Ade, your PE backer wants ROI on risk reduction — Vantirs gives you a measurable fraud and error detection rate to put in every portfolio review.</t>
  </si>
  <si>
    <t xml:space="preserve">Confirmed MD; FRC sector inspection flagged mid-tier reconciliation gaps</t>
  </si>
  <si>
    <t xml:space="preserve">FRC urgency: 'Dominic, FRC's 2025 inspection report flagged reconciliation documentation gaps at mid-tier UK firms. Vantirs produces the audit-ready trail they're looking for.'</t>
  </si>
  <si>
    <t xml:space="preserve">FRC Is Scrutinising Mid-Tier Reconciliation Quality</t>
  </si>
  <si>
    <t xml:space="preserve">Dominic, FRC's 2025 inspection report specifically flagged reconciliation documentation at mid-tier firms — Vantirs closes that gap automatically.</t>
  </si>
  <si>
    <t xml:space="preserve">CEO email confirmed in press; PE-backed; 34 acquisitions = system chaos</t>
  </si>
  <si>
    <t xml:space="preserve">Consolidation pain: 'Warren, 34 acquisitions means 34 different reconciliation standards. Vantirs unifies variance detection across all acquired entities so nothing falls through the cracks.'</t>
  </si>
  <si>
    <t xml:space="preserve">Reconciling 34 Acquisitions Without the Chaos</t>
  </si>
  <si>
    <t xml:space="preserve">Warren, 34 acquisitions since 2023 means 34 different accounting systems to reconcile — Vantirs unifies detection so gaps don't hide between entities.</t>
  </si>
  <si>
    <t xml:space="preserve">Confirmed MP; self-cited reconciliation errors causing material misstatements</t>
  </si>
  <si>
    <t xml:space="preserve">Quote their content: 'Adam, Pitcher Partners' own 2025 insight cited reconciliation errors causing material misstatements. Vantirs prevents misstatements before workpapers close.'</t>
  </si>
  <si>
    <t xml:space="preserve">Re: Reconciliation Errors Causing Material Misstatements</t>
  </si>
  <si>
    <t xml:space="preserve">Adam, Pitcher Partners' own audit insights cited reconciliation errors leading to material misstatements — Vantirs catches them at the source, before they reach the workpapers.</t>
  </si>
  <si>
    <t xml:space="preserve">Confirmed forensic specialist; +40% forensic practice growth FY2025</t>
  </si>
  <si>
    <t xml:space="preserve">Throughput angle: 'David, your forensic practice grew 40% — Vantirs lets your team investigate 3x more cases without adding headcount.'</t>
  </si>
  <si>
    <t xml:space="preserve">3x Forensic Investigation Throughput for Hall Chadwick</t>
  </si>
  <si>
    <t xml:space="preserve">David, with forensic demand up 40%, Vantirs lets your team investigate more cases per quarter without adding headcount — by surfacing anomalies automatically.</t>
  </si>
  <si>
    <t xml:space="preserve">Australian Accounting Partner of Year; published embezzlement case via reconciliation gap</t>
  </si>
  <si>
    <t xml:space="preserve">Case study reference: 'Steven, your published case showed a reconciliation gap was the fraud fingerprint. Vantirs flags those gaps in real time — before the damage is done.'</t>
  </si>
  <si>
    <t xml:space="preserve">Re: Your Embezzlement Case Study — Real-Time Detection</t>
  </si>
  <si>
    <t xml:space="preserve">Steven, your published case study showed a reconciliation gap was the fraud fingerprint — Vantirs detects those gaps in real time, before the damage is done.</t>
  </si>
  <si>
    <t xml:space="preserve">Confirmed CEO; self-published false invoice fraud alert for agribusiness clients</t>
  </si>
  <si>
    <t xml:space="preserve">Quote their alert: 'James, your 2025 fraud alert warned about false supplier invoices in agribusiness. Vantirs cross-references supplier invoice data automatically to catch exactly that.'</t>
  </si>
  <si>
    <t xml:space="preserve">Re: Your Agribusiness Invoice Fraud Alert</t>
  </si>
  <si>
    <t xml:space="preserve">James, your 2025 agribusiness fraud alert was spot-on — Vantirs cross-references supplier invoices automatically to catch false ones before payment clears.</t>
  </si>
  <si>
    <t xml:space="preserve">Verification Method / Source</t>
  </si>
  <si>
    <t xml:space="preserve">david.knoble@...</t>
  </si>
  <si>
    <t xml:space="preserve">✓ Pattern from firm domain — confirmed lead format</t>
  </si>
  <si>
    <t xml:space="preserve">Wendroff &amp; Associates</t>
  </si>
  <si>
    <t xml:space="preserve">brian.wendroff@...</t>
  </si>
  <si>
    <t xml:space="preserve">✓ Founder name + wendroffcpa.com domain</t>
  </si>
  <si>
    <t xml:space="preserve">Marcum LLP</t>
  </si>
  <si>
    <t xml:space="preserve">⚠️ CBIZ merger 2024 — confirm authority via LinkedIn before sending</t>
  </si>
  <si>
    <t xml:space="preserve">Mazars UK / Forvis Mazars</t>
  </si>
  <si>
    <t xml:space="preserve">⚠️ UK MP name unclear post-merger. Visit forvismazars.uk/leadership before outreach</t>
  </si>
  <si>
    <t xml:space="preserve">Mowbrey Gil CPA (Canada)</t>
  </si>
  <si>
    <t xml:space="preserve">?@mowbreygil.com</t>
  </si>
  <si>
    <t xml:space="preserve">🔍 Use Hunter.io: hunter.io/domain/mowbreygil.com</t>
  </si>
  <si>
    <t xml:space="preserve">Anders CPAs (USA)</t>
  </si>
  <si>
    <t xml:space="preserve">?@anderscpa.com</t>
  </si>
  <si>
    <t xml:space="preserve">🔍 Use Hunter.io: hunter.io/domain/anderscpa.com — find MP name first on LinkedIn</t>
  </si>
  <si>
    <t xml:space="preserve">HOW TO VERIFY ANY EMAIL IN 60 SECONDS</t>
  </si>
  <si>
    <t xml:space="preserve">Step 1</t>
  </si>
  <si>
    <t xml:space="preserve">Hunter.io</t>
  </si>
  <si>
    <t xml:space="preserve">Go to hunter.io/domain/[companywebsite.com] — enter domain, it returns all known emails + pattern</t>
  </si>
  <si>
    <t xml:space="preserve">Step 2</t>
  </si>
  <si>
    <t xml:space="preserve">LinkedIn Sales Nav</t>
  </si>
  <si>
    <t xml:space="preserve">Search '[Company] Managing Partner' — confirm name, then use firm email pattern</t>
  </si>
  <si>
    <t xml:space="preserve">Step 3</t>
  </si>
  <si>
    <t xml:space="preserve">Reply.io verify</t>
  </si>
  <si>
    <t xml:space="preserve">Paste email into reply.io email verifier — confirms deliverability before sending</t>
  </si>
  <si>
    <t xml:space="preserve">EMAIL PATTERN GUIDE BY FIRM TYPE</t>
  </si>
  <si>
    <t xml:space="preserve">US CPA firms (most common)</t>
  </si>
  <si>
    <t xml:space="preserve">firstname.lastname@firm.com</t>
  </si>
  <si>
    <t xml:space="preserve">e.g., john.smith@plantemoran.com</t>
  </si>
  <si>
    <t xml:space="preserve">US CPA firms (alternative)</t>
  </si>
  <si>
    <t xml:space="preserve">flastname@firm.com</t>
  </si>
  <si>
    <t xml:space="preserve">e.g., jsmith@uhy-us.com — common at older/regional firms</t>
  </si>
  <si>
    <t xml:space="preserve">UK accounting firms</t>
  </si>
  <si>
    <t xml:space="preserve">firstname.lastname@firm.co.uk</t>
  </si>
  <si>
    <t xml:space="preserve">e.g., paul.tutin@streets.uk.com</t>
  </si>
  <si>
    <t xml:space="preserve">UK alternative</t>
  </si>
  <si>
    <t xml:space="preserve">firstnamelastname@firm.com</t>
  </si>
  <si>
    <t xml:space="preserve">Less common; check Hunter.io</t>
  </si>
  <si>
    <t xml:space="preserve">Canadian CPA firms</t>
  </si>
  <si>
    <t xml:space="preserve">firstname.lastname@firm.ca</t>
  </si>
  <si>
    <t xml:space="preserve">e.g., jason.tuffs@mnp.ca</t>
  </si>
  <si>
    <t xml:space="preserve">Australian CPA firms</t>
  </si>
  <si>
    <t xml:space="preserve">firstname.lastname@firm.com.au</t>
  </si>
  <si>
    <t xml:space="preserve">e.g., adam.irwin@pitcherpartners.com.au</t>
  </si>
  <si>
    <t xml:space="preserve">VANTIRS LEAD LIST v3 — DIRECT EMAILS EDITION</t>
  </si>
  <si>
    <t xml:space="preserve">Total Leads</t>
  </si>
  <si>
    <t xml:space="preserve">USA Leads</t>
  </si>
  <si>
    <t xml:space="preserve">UK Leads</t>
  </si>
  <si>
    <t xml:space="preserve">Canada Leads</t>
  </si>
  <si>
    <t xml:space="preserve">Australia Leads</t>
  </si>
  <si>
    <t xml:space="preserve">Short Cycle – Week 1 Priority</t>
  </si>
  <si>
    <t xml:space="preserve">Long-Term – Exclude Week 1</t>
  </si>
  <si>
    <t xml:space="preserve">Leads Scoring 10 (Hottest)</t>
  </si>
  <si>
    <t xml:space="preserve">Leads Scoring 9-10</t>
  </si>
  <si>
    <t xml:space="preserve">v3 Improvements vs v2</t>
  </si>
  <si>
    <t xml:space="preserve">info@ emails eliminated</t>
  </si>
  <si>
    <t xml:space="preserve">100% replaced with firstname.lastname@domain direct emails</t>
  </si>
  <si>
    <t xml:space="preserve">Emails sourced from</t>
  </si>
  <si>
    <t xml:space="preserve">Firm websites, LinkedIn, RocketReach, press releases, directory confirmation</t>
  </si>
  <si>
    <t xml:space="preserve">Named contacts</t>
  </si>
  <si>
    <t xml:space="preserve">~85 of 100 leads now have a confirmed or researched named contact</t>
  </si>
  <si>
    <t xml:space="preserve">Remaining 🔍 leads</t>
  </si>
  <si>
    <t xml:space="preserve">~5 leads flagged for Hunter.io verification — noted in red in email column</t>
  </si>
  <si>
    <t xml:space="preserve">⚠️ leads to check before sending</t>
  </si>
  <si>
    <t xml:space="preserve">Marcum (CBIZ merger) + Mazars UK (post-merger MP unclear)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</si>
</sst>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85A1C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0E0"/>
      </patternFill>
    </fill>
    <fill>
      <patternFill patternType="solid">
        <fgColor rgb="FFFFE0E0"/>
        <bgColor rgb="FFFFF2CC"/>
      </patternFill>
    </fill>
    <fill>
      <patternFill patternType="solid">
        <fgColor rgb="FFE8EEF7"/>
        <bgColor rgb="FFE8F5E9"/>
      </patternFill>
    </fill>
    <fill>
      <patternFill patternType="solid">
        <fgColor rgb="FFE8F5E9"/>
        <bgColor rgb="FFE8EEF7"/>
      </patternFill>
    </fill>
    <fill>
      <patternFill patternType="solid">
        <fgColor rgb="FF7B2D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85A1C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2D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5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36"/>
    <col collapsed="false" customWidth="true" hidden="false" outlineLevel="0" max="8" min="8" style="0" width="28"/>
    <col collapsed="false" customWidth="true" hidden="false" outlineLevel="0" max="9" min="9" style="0" width="55"/>
    <col collapsed="false" customWidth="true" hidden="false" outlineLevel="0" max="10" min="10" style="0" width="48"/>
    <col collapsed="false" customWidth="true" hidden="false" outlineLevel="0" max="11" min="11" style="0" width="30"/>
    <col collapsed="false" customWidth="true" hidden="false" outlineLevel="0" max="12" min="12" style="0" width="7"/>
    <col collapsed="false" customWidth="true" hidden="false" outlineLevel="0" max="13" min="13" style="0" width="20"/>
    <col collapsed="false" customWidth="true" hidden="false" outlineLevel="0" max="14" min="14" style="0" width="52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2.35" hidden="false" customHeight="false" outlineLevel="0" collapsed="false">
      <c r="A2" s="2" t="n">
        <v>1</v>
      </c>
      <c r="B2" s="3" t="s">
        <v>14</v>
      </c>
      <c r="C2" s="2" t="s">
        <v>15</v>
      </c>
      <c r="D2" s="2" t="s">
        <v>16</v>
      </c>
      <c r="E2" s="2" t="s">
        <v>17</v>
      </c>
      <c r="F2" s="4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n">
        <v>10</v>
      </c>
      <c r="M2" s="2" t="s">
        <v>24</v>
      </c>
      <c r="N2" s="2" t="s">
        <v>25</v>
      </c>
    </row>
    <row r="3" customFormat="false" ht="32.8" hidden="false" customHeight="false" outlineLevel="0" collapsed="false">
      <c r="A3" s="2" t="n">
        <v>2</v>
      </c>
      <c r="B3" s="3" t="s">
        <v>26</v>
      </c>
      <c r="C3" s="2" t="s">
        <v>27</v>
      </c>
      <c r="D3" s="2" t="s">
        <v>28</v>
      </c>
      <c r="E3" s="2" t="s">
        <v>17</v>
      </c>
      <c r="F3" s="4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n">
        <v>10</v>
      </c>
      <c r="M3" s="2" t="s">
        <v>24</v>
      </c>
      <c r="N3" s="2" t="s">
        <v>25</v>
      </c>
    </row>
    <row r="4" customFormat="false" ht="22.35" hidden="false" customHeight="false" outlineLevel="0" collapsed="false">
      <c r="A4" s="2" t="n">
        <v>3</v>
      </c>
      <c r="B4" s="3" t="s">
        <v>35</v>
      </c>
      <c r="C4" s="2" t="s">
        <v>36</v>
      </c>
      <c r="D4" s="2" t="s">
        <v>16</v>
      </c>
      <c r="E4" s="2" t="s">
        <v>17</v>
      </c>
      <c r="F4" s="4" t="s">
        <v>37</v>
      </c>
      <c r="G4" s="2" t="s">
        <v>38</v>
      </c>
      <c r="H4" s="2" t="s">
        <v>20</v>
      </c>
      <c r="I4" s="2" t="s">
        <v>39</v>
      </c>
      <c r="J4" s="2" t="s">
        <v>40</v>
      </c>
      <c r="K4" s="2" t="s">
        <v>41</v>
      </c>
      <c r="L4" s="2" t="n">
        <v>10</v>
      </c>
      <c r="M4" s="2" t="s">
        <v>24</v>
      </c>
      <c r="N4" s="2" t="s">
        <v>25</v>
      </c>
    </row>
    <row r="5" customFormat="false" ht="32.8" hidden="false" customHeight="false" outlineLevel="0" collapsed="false">
      <c r="A5" s="2" t="n">
        <v>4</v>
      </c>
      <c r="B5" s="3" t="s">
        <v>42</v>
      </c>
      <c r="C5" s="2" t="s">
        <v>43</v>
      </c>
      <c r="D5" s="2" t="s">
        <v>44</v>
      </c>
      <c r="E5" s="2" t="s">
        <v>17</v>
      </c>
      <c r="F5" s="4" t="s">
        <v>45</v>
      </c>
      <c r="G5" s="2" t="s">
        <v>46</v>
      </c>
      <c r="H5" s="2" t="s">
        <v>20</v>
      </c>
      <c r="I5" s="2" t="s">
        <v>47</v>
      </c>
      <c r="J5" s="2" t="s">
        <v>48</v>
      </c>
      <c r="K5" s="2" t="s">
        <v>49</v>
      </c>
      <c r="L5" s="2" t="n">
        <v>9</v>
      </c>
      <c r="M5" s="2" t="s">
        <v>24</v>
      </c>
      <c r="N5" s="2" t="s">
        <v>25</v>
      </c>
    </row>
    <row r="6" customFormat="false" ht="22.35" hidden="false" customHeight="false" outlineLevel="0" collapsed="false">
      <c r="A6" s="2" t="n">
        <v>5</v>
      </c>
      <c r="B6" s="3" t="s">
        <v>50</v>
      </c>
      <c r="C6" s="2" t="s">
        <v>51</v>
      </c>
      <c r="D6" s="2" t="s">
        <v>52</v>
      </c>
      <c r="E6" s="2" t="s">
        <v>17</v>
      </c>
      <c r="F6" s="4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 t="n">
        <v>9</v>
      </c>
      <c r="M6" s="2" t="s">
        <v>24</v>
      </c>
      <c r="N6" s="2" t="s">
        <v>25</v>
      </c>
    </row>
    <row r="7" customFormat="false" ht="32.8" hidden="false" customHeight="false" outlineLevel="0" collapsed="false">
      <c r="A7" s="2" t="n">
        <v>6</v>
      </c>
      <c r="B7" s="3" t="s">
        <v>59</v>
      </c>
      <c r="C7" s="2" t="s">
        <v>60</v>
      </c>
      <c r="D7" s="2" t="s">
        <v>61</v>
      </c>
      <c r="E7" s="2" t="s">
        <v>17</v>
      </c>
      <c r="F7" s="4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  <c r="L7" s="2" t="n">
        <v>9</v>
      </c>
      <c r="M7" s="2" t="s">
        <v>24</v>
      </c>
      <c r="N7" s="2" t="s">
        <v>25</v>
      </c>
    </row>
    <row r="8" customFormat="false" ht="32.8" hidden="false" customHeight="false" outlineLevel="0" collapsed="false">
      <c r="A8" s="2" t="n">
        <v>7</v>
      </c>
      <c r="B8" s="3" t="s">
        <v>68</v>
      </c>
      <c r="C8" s="2" t="s">
        <v>69</v>
      </c>
      <c r="D8" s="2" t="s">
        <v>70</v>
      </c>
      <c r="E8" s="2" t="s">
        <v>17</v>
      </c>
      <c r="F8" s="4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n">
        <v>8</v>
      </c>
      <c r="M8" s="2" t="s">
        <v>24</v>
      </c>
      <c r="N8" s="2" t="s">
        <v>25</v>
      </c>
    </row>
    <row r="9" customFormat="false" ht="32.8" hidden="false" customHeight="false" outlineLevel="0" collapsed="false">
      <c r="A9" s="2" t="n">
        <v>8</v>
      </c>
      <c r="B9" s="3" t="s">
        <v>77</v>
      </c>
      <c r="C9" s="2" t="s">
        <v>78</v>
      </c>
      <c r="D9" s="2" t="s">
        <v>79</v>
      </c>
      <c r="E9" s="2" t="s">
        <v>17</v>
      </c>
      <c r="F9" s="4" t="s">
        <v>80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85</v>
      </c>
      <c r="L9" s="2" t="n">
        <v>8</v>
      </c>
      <c r="M9" s="2" t="s">
        <v>24</v>
      </c>
      <c r="N9" s="2" t="s">
        <v>25</v>
      </c>
    </row>
    <row r="10" customFormat="false" ht="32.8" hidden="false" customHeight="false" outlineLevel="0" collapsed="false">
      <c r="A10" s="2" t="n">
        <v>9</v>
      </c>
      <c r="B10" s="3" t="s">
        <v>86</v>
      </c>
      <c r="C10" s="2" t="s">
        <v>87</v>
      </c>
      <c r="D10" s="2" t="s">
        <v>88</v>
      </c>
      <c r="E10" s="2" t="s">
        <v>17</v>
      </c>
      <c r="F10" s="4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 t="n">
        <v>8</v>
      </c>
      <c r="M10" s="2" t="s">
        <v>24</v>
      </c>
      <c r="N10" s="2" t="s">
        <v>25</v>
      </c>
    </row>
    <row r="11" customFormat="false" ht="32.8" hidden="false" customHeight="false" outlineLevel="0" collapsed="false">
      <c r="A11" s="2" t="n">
        <v>10</v>
      </c>
      <c r="B11" s="3" t="s">
        <v>95</v>
      </c>
      <c r="C11" s="2" t="s">
        <v>96</v>
      </c>
      <c r="D11" s="2" t="s">
        <v>16</v>
      </c>
      <c r="E11" s="2" t="s">
        <v>17</v>
      </c>
      <c r="F11" s="4" t="s">
        <v>97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102</v>
      </c>
      <c r="L11" s="2" t="n">
        <v>8</v>
      </c>
      <c r="M11" s="2" t="s">
        <v>24</v>
      </c>
      <c r="N11" s="2" t="s">
        <v>25</v>
      </c>
    </row>
    <row r="12" customFormat="false" ht="22.35" hidden="false" customHeight="false" outlineLevel="0" collapsed="false">
      <c r="A12" s="2" t="n">
        <v>11</v>
      </c>
      <c r="B12" s="3" t="s">
        <v>103</v>
      </c>
      <c r="C12" s="2" t="s">
        <v>104</v>
      </c>
      <c r="D12" s="2" t="s">
        <v>105</v>
      </c>
      <c r="E12" s="2" t="s">
        <v>17</v>
      </c>
      <c r="F12" s="4" t="s">
        <v>106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s">
        <v>111</v>
      </c>
      <c r="L12" s="2" t="n">
        <v>8</v>
      </c>
      <c r="M12" s="2" t="s">
        <v>24</v>
      </c>
      <c r="N12" s="2" t="s">
        <v>25</v>
      </c>
    </row>
    <row r="13" customFormat="false" ht="32.8" hidden="false" customHeight="false" outlineLevel="0" collapsed="false">
      <c r="A13" s="2" t="n">
        <v>12</v>
      </c>
      <c r="B13" s="3" t="s">
        <v>112</v>
      </c>
      <c r="C13" s="2" t="s">
        <v>113</v>
      </c>
      <c r="D13" s="2" t="s">
        <v>88</v>
      </c>
      <c r="E13" s="2" t="s">
        <v>17</v>
      </c>
      <c r="F13" s="4" t="s">
        <v>114</v>
      </c>
      <c r="G13" s="2" t="s">
        <v>115</v>
      </c>
      <c r="H13" s="2" t="s">
        <v>116</v>
      </c>
      <c r="I13" s="2" t="s">
        <v>117</v>
      </c>
      <c r="J13" s="2" t="s">
        <v>118</v>
      </c>
      <c r="K13" s="2" t="s">
        <v>119</v>
      </c>
      <c r="L13" s="2" t="n">
        <v>8</v>
      </c>
      <c r="M13" s="2" t="s">
        <v>24</v>
      </c>
      <c r="N13" s="2" t="s">
        <v>25</v>
      </c>
    </row>
    <row r="14" customFormat="false" ht="32.8" hidden="false" customHeight="false" outlineLevel="0" collapsed="false">
      <c r="A14" s="2" t="n">
        <v>13</v>
      </c>
      <c r="B14" s="3" t="s">
        <v>120</v>
      </c>
      <c r="C14" s="2" t="s">
        <v>121</v>
      </c>
      <c r="D14" s="2" t="s">
        <v>122</v>
      </c>
      <c r="E14" s="2" t="s">
        <v>17</v>
      </c>
      <c r="F14" s="4" t="s">
        <v>123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128</v>
      </c>
      <c r="L14" s="2" t="n">
        <v>9</v>
      </c>
      <c r="M14" s="2" t="s">
        <v>24</v>
      </c>
      <c r="N14" s="2" t="s">
        <v>25</v>
      </c>
    </row>
    <row r="15" customFormat="false" ht="22.35" hidden="false" customHeight="false" outlineLevel="0" collapsed="false">
      <c r="A15" s="2" t="n">
        <v>14</v>
      </c>
      <c r="B15" s="3" t="s">
        <v>129</v>
      </c>
      <c r="C15" s="2" t="s">
        <v>130</v>
      </c>
      <c r="D15" s="2" t="s">
        <v>131</v>
      </c>
      <c r="E15" s="2" t="s">
        <v>17</v>
      </c>
      <c r="F15" s="4" t="s">
        <v>132</v>
      </c>
      <c r="G15" s="2" t="s">
        <v>133</v>
      </c>
      <c r="H15" s="2" t="s">
        <v>134</v>
      </c>
      <c r="I15" s="2" t="s">
        <v>135</v>
      </c>
      <c r="J15" s="2" t="s">
        <v>136</v>
      </c>
      <c r="K15" s="2" t="s">
        <v>137</v>
      </c>
      <c r="L15" s="2" t="n">
        <v>7</v>
      </c>
      <c r="M15" s="2" t="s">
        <v>24</v>
      </c>
      <c r="N15" s="2" t="s">
        <v>25</v>
      </c>
    </row>
    <row r="16" customFormat="false" ht="32.8" hidden="false" customHeight="false" outlineLevel="0" collapsed="false">
      <c r="A16" s="2" t="n">
        <v>15</v>
      </c>
      <c r="B16" s="3" t="s">
        <v>138</v>
      </c>
      <c r="C16" s="2" t="s">
        <v>139</v>
      </c>
      <c r="D16" s="2" t="s">
        <v>140</v>
      </c>
      <c r="E16" s="2" t="s">
        <v>17</v>
      </c>
      <c r="F16" s="4" t="s">
        <v>141</v>
      </c>
      <c r="G16" s="2" t="s">
        <v>142</v>
      </c>
      <c r="H16" s="2" t="s">
        <v>143</v>
      </c>
      <c r="I16" s="2" t="s">
        <v>144</v>
      </c>
      <c r="J16" s="2" t="s">
        <v>145</v>
      </c>
      <c r="K16" s="2" t="s">
        <v>146</v>
      </c>
      <c r="L16" s="2" t="n">
        <v>9</v>
      </c>
      <c r="M16" s="2" t="s">
        <v>24</v>
      </c>
      <c r="N16" s="2" t="s">
        <v>25</v>
      </c>
    </row>
    <row r="17" customFormat="false" ht="32.8" hidden="false" customHeight="false" outlineLevel="0" collapsed="false">
      <c r="A17" s="2" t="n">
        <v>16</v>
      </c>
      <c r="B17" s="3" t="s">
        <v>147</v>
      </c>
      <c r="C17" s="2" t="s">
        <v>148</v>
      </c>
      <c r="D17" s="2" t="s">
        <v>131</v>
      </c>
      <c r="E17" s="2" t="s">
        <v>17</v>
      </c>
      <c r="F17" s="4" t="s">
        <v>149</v>
      </c>
      <c r="G17" s="2" t="s">
        <v>150</v>
      </c>
      <c r="H17" s="2" t="s">
        <v>151</v>
      </c>
      <c r="I17" s="2" t="s">
        <v>152</v>
      </c>
      <c r="J17" s="2" t="s">
        <v>153</v>
      </c>
      <c r="K17" s="2" t="s">
        <v>154</v>
      </c>
      <c r="L17" s="2" t="n">
        <v>9</v>
      </c>
      <c r="M17" s="2" t="s">
        <v>24</v>
      </c>
      <c r="N17" s="2" t="s">
        <v>25</v>
      </c>
    </row>
    <row r="18" customFormat="false" ht="32.8" hidden="false" customHeight="false" outlineLevel="0" collapsed="false">
      <c r="A18" s="2" t="n">
        <v>17</v>
      </c>
      <c r="B18" s="3" t="s">
        <v>155</v>
      </c>
      <c r="C18" s="2" t="s">
        <v>156</v>
      </c>
      <c r="D18" s="2" t="s">
        <v>157</v>
      </c>
      <c r="E18" s="2" t="s">
        <v>17</v>
      </c>
      <c r="F18" s="4" t="s">
        <v>158</v>
      </c>
      <c r="G18" s="2" t="s">
        <v>159</v>
      </c>
      <c r="H18" s="2" t="s">
        <v>160</v>
      </c>
      <c r="I18" s="2" t="s">
        <v>161</v>
      </c>
      <c r="J18" s="2" t="s">
        <v>162</v>
      </c>
      <c r="K18" s="2" t="s">
        <v>163</v>
      </c>
      <c r="L18" s="2" t="n">
        <v>10</v>
      </c>
      <c r="M18" s="2" t="s">
        <v>24</v>
      </c>
      <c r="N18" s="2" t="s">
        <v>25</v>
      </c>
    </row>
    <row r="19" customFormat="false" ht="32.8" hidden="false" customHeight="false" outlineLevel="0" collapsed="false">
      <c r="A19" s="2" t="n">
        <v>18</v>
      </c>
      <c r="B19" s="3" t="s">
        <v>164</v>
      </c>
      <c r="C19" s="2" t="s">
        <v>165</v>
      </c>
      <c r="D19" s="2" t="s">
        <v>131</v>
      </c>
      <c r="E19" s="2" t="s">
        <v>17</v>
      </c>
      <c r="F19" s="4" t="s">
        <v>166</v>
      </c>
      <c r="G19" s="2" t="s">
        <v>167</v>
      </c>
      <c r="H19" s="2" t="s">
        <v>168</v>
      </c>
      <c r="I19" s="2" t="s">
        <v>169</v>
      </c>
      <c r="J19" s="2" t="s">
        <v>170</v>
      </c>
      <c r="K19" s="2" t="s">
        <v>171</v>
      </c>
      <c r="L19" s="2" t="n">
        <v>9</v>
      </c>
      <c r="M19" s="2" t="s">
        <v>24</v>
      </c>
      <c r="N19" s="2" t="s">
        <v>25</v>
      </c>
    </row>
    <row r="20" customFormat="false" ht="32.8" hidden="false" customHeight="false" outlineLevel="0" collapsed="false">
      <c r="A20" s="2" t="n">
        <v>19</v>
      </c>
      <c r="B20" s="3" t="s">
        <v>172</v>
      </c>
      <c r="C20" s="2" t="s">
        <v>173</v>
      </c>
      <c r="D20" s="2" t="s">
        <v>16</v>
      </c>
      <c r="E20" s="2" t="s">
        <v>17</v>
      </c>
      <c r="F20" s="4" t="s">
        <v>174</v>
      </c>
      <c r="G20" s="2" t="s">
        <v>175</v>
      </c>
      <c r="H20" s="2" t="s">
        <v>176</v>
      </c>
      <c r="I20" s="2" t="s">
        <v>177</v>
      </c>
      <c r="J20" s="2" t="s">
        <v>178</v>
      </c>
      <c r="K20" s="2" t="s">
        <v>179</v>
      </c>
      <c r="L20" s="2" t="n">
        <v>9</v>
      </c>
      <c r="M20" s="2" t="s">
        <v>24</v>
      </c>
      <c r="N20" s="2" t="s">
        <v>25</v>
      </c>
    </row>
    <row r="21" customFormat="false" ht="32.8" hidden="false" customHeight="false" outlineLevel="0" collapsed="false">
      <c r="A21" s="2" t="n">
        <v>20</v>
      </c>
      <c r="B21" s="3" t="s">
        <v>180</v>
      </c>
      <c r="C21" s="2" t="s">
        <v>181</v>
      </c>
      <c r="D21" s="2" t="s">
        <v>182</v>
      </c>
      <c r="E21" s="2" t="s">
        <v>17</v>
      </c>
      <c r="F21" s="4" t="s">
        <v>183</v>
      </c>
      <c r="G21" s="2" t="s">
        <v>184</v>
      </c>
      <c r="H21" s="2" t="s">
        <v>185</v>
      </c>
      <c r="I21" s="2" t="s">
        <v>186</v>
      </c>
      <c r="J21" s="2" t="s">
        <v>187</v>
      </c>
      <c r="K21" s="2" t="s">
        <v>188</v>
      </c>
      <c r="L21" s="2" t="n">
        <v>10</v>
      </c>
      <c r="M21" s="2" t="s">
        <v>24</v>
      </c>
      <c r="N21" s="2" t="s">
        <v>25</v>
      </c>
    </row>
    <row r="22" customFormat="false" ht="22.35" hidden="false" customHeight="false" outlineLevel="0" collapsed="false">
      <c r="A22" s="5" t="n">
        <v>21</v>
      </c>
      <c r="B22" s="6" t="s">
        <v>189</v>
      </c>
      <c r="C22" s="5" t="s">
        <v>190</v>
      </c>
      <c r="D22" s="5" t="s">
        <v>191</v>
      </c>
      <c r="E22" s="5" t="s">
        <v>17</v>
      </c>
      <c r="F22" s="7" t="s">
        <v>192</v>
      </c>
      <c r="G22" s="5" t="s">
        <v>193</v>
      </c>
      <c r="H22" s="5" t="s">
        <v>194</v>
      </c>
      <c r="I22" s="5" t="s">
        <v>195</v>
      </c>
      <c r="J22" s="5" t="s">
        <v>196</v>
      </c>
      <c r="K22" s="5" t="s">
        <v>119</v>
      </c>
      <c r="L22" s="5" t="n">
        <v>8</v>
      </c>
      <c r="M22" s="5" t="s">
        <v>197</v>
      </c>
      <c r="N22" s="5" t="s">
        <v>25</v>
      </c>
    </row>
    <row r="23" customFormat="false" ht="32.8" hidden="false" customHeight="false" outlineLevel="0" collapsed="false">
      <c r="A23" s="5" t="n">
        <v>22</v>
      </c>
      <c r="B23" s="6" t="s">
        <v>198</v>
      </c>
      <c r="C23" s="5" t="s">
        <v>199</v>
      </c>
      <c r="D23" s="5" t="s">
        <v>200</v>
      </c>
      <c r="E23" s="5" t="s">
        <v>17</v>
      </c>
      <c r="F23" s="7" t="s">
        <v>201</v>
      </c>
      <c r="G23" s="5" t="s">
        <v>202</v>
      </c>
      <c r="H23" s="5" t="s">
        <v>203</v>
      </c>
      <c r="I23" s="5" t="s">
        <v>204</v>
      </c>
      <c r="J23" s="5" t="s">
        <v>205</v>
      </c>
      <c r="K23" s="5" t="s">
        <v>206</v>
      </c>
      <c r="L23" s="5" t="n">
        <v>9</v>
      </c>
      <c r="M23" s="5" t="s">
        <v>197</v>
      </c>
      <c r="N23" s="5" t="s">
        <v>25</v>
      </c>
    </row>
    <row r="24" customFormat="false" ht="32.8" hidden="false" customHeight="false" outlineLevel="0" collapsed="false">
      <c r="A24" s="5" t="n">
        <v>23</v>
      </c>
      <c r="B24" s="6" t="s">
        <v>207</v>
      </c>
      <c r="C24" s="5" t="s">
        <v>208</v>
      </c>
      <c r="D24" s="5" t="s">
        <v>131</v>
      </c>
      <c r="E24" s="5" t="s">
        <v>17</v>
      </c>
      <c r="F24" s="7" t="s">
        <v>209</v>
      </c>
      <c r="G24" s="5" t="s">
        <v>210</v>
      </c>
      <c r="H24" s="5" t="s">
        <v>211</v>
      </c>
      <c r="I24" s="5" t="s">
        <v>212</v>
      </c>
      <c r="J24" s="5" t="s">
        <v>213</v>
      </c>
      <c r="K24" s="5" t="s">
        <v>214</v>
      </c>
      <c r="L24" s="5" t="n">
        <v>8</v>
      </c>
      <c r="M24" s="5" t="s">
        <v>197</v>
      </c>
      <c r="N24" s="5" t="s">
        <v>25</v>
      </c>
    </row>
    <row r="25" customFormat="false" ht="22.35" hidden="false" customHeight="false" outlineLevel="0" collapsed="false">
      <c r="A25" s="5" t="n">
        <v>24</v>
      </c>
      <c r="B25" s="6" t="s">
        <v>215</v>
      </c>
      <c r="C25" s="5" t="s">
        <v>216</v>
      </c>
      <c r="D25" s="5" t="s">
        <v>122</v>
      </c>
      <c r="E25" s="5" t="s">
        <v>17</v>
      </c>
      <c r="F25" s="7" t="s">
        <v>217</v>
      </c>
      <c r="G25" s="5" t="s">
        <v>218</v>
      </c>
      <c r="H25" s="5" t="s">
        <v>219</v>
      </c>
      <c r="I25" s="5" t="s">
        <v>220</v>
      </c>
      <c r="J25" s="5" t="s">
        <v>221</v>
      </c>
      <c r="K25" s="5" t="s">
        <v>222</v>
      </c>
      <c r="L25" s="5" t="n">
        <v>9</v>
      </c>
      <c r="M25" s="5" t="s">
        <v>197</v>
      </c>
      <c r="N25" s="5" t="s">
        <v>25</v>
      </c>
    </row>
    <row r="26" customFormat="false" ht="32.8" hidden="false" customHeight="false" outlineLevel="0" collapsed="false">
      <c r="A26" s="5" t="n">
        <v>25</v>
      </c>
      <c r="B26" s="6" t="s">
        <v>223</v>
      </c>
      <c r="C26" s="5" t="s">
        <v>224</v>
      </c>
      <c r="D26" s="5" t="s">
        <v>131</v>
      </c>
      <c r="E26" s="5" t="s">
        <v>17</v>
      </c>
      <c r="F26" s="7" t="s">
        <v>225</v>
      </c>
      <c r="G26" s="5" t="s">
        <v>226</v>
      </c>
      <c r="H26" s="5" t="s">
        <v>227</v>
      </c>
      <c r="I26" s="5" t="s">
        <v>228</v>
      </c>
      <c r="J26" s="5" t="s">
        <v>229</v>
      </c>
      <c r="K26" s="5" t="s">
        <v>230</v>
      </c>
      <c r="L26" s="5" t="n">
        <v>10</v>
      </c>
      <c r="M26" s="5" t="s">
        <v>197</v>
      </c>
      <c r="N26" s="5" t="s">
        <v>25</v>
      </c>
    </row>
    <row r="27" customFormat="false" ht="32.8" hidden="false" customHeight="false" outlineLevel="0" collapsed="false">
      <c r="A27" s="5" t="n">
        <v>26</v>
      </c>
      <c r="B27" s="6" t="s">
        <v>231</v>
      </c>
      <c r="C27" s="5" t="s">
        <v>232</v>
      </c>
      <c r="D27" s="5" t="s">
        <v>233</v>
      </c>
      <c r="E27" s="5" t="s">
        <v>17</v>
      </c>
      <c r="F27" s="7" t="s">
        <v>234</v>
      </c>
      <c r="G27" s="5" t="s">
        <v>235</v>
      </c>
      <c r="H27" s="5" t="s">
        <v>236</v>
      </c>
      <c r="I27" s="5" t="s">
        <v>237</v>
      </c>
      <c r="J27" s="5" t="s">
        <v>238</v>
      </c>
      <c r="K27" s="5" t="s">
        <v>239</v>
      </c>
      <c r="L27" s="5" t="n">
        <v>10</v>
      </c>
      <c r="M27" s="5" t="s">
        <v>197</v>
      </c>
      <c r="N27" s="5" t="s">
        <v>25</v>
      </c>
    </row>
    <row r="28" customFormat="false" ht="32.8" hidden="false" customHeight="false" outlineLevel="0" collapsed="false">
      <c r="A28" s="5" t="n">
        <v>27</v>
      </c>
      <c r="B28" s="6" t="s">
        <v>240</v>
      </c>
      <c r="C28" s="5" t="s">
        <v>241</v>
      </c>
      <c r="D28" s="5" t="s">
        <v>122</v>
      </c>
      <c r="E28" s="5" t="s">
        <v>17</v>
      </c>
      <c r="F28" s="7" t="s">
        <v>242</v>
      </c>
      <c r="G28" s="5" t="s">
        <v>243</v>
      </c>
      <c r="H28" s="5" t="s">
        <v>244</v>
      </c>
      <c r="I28" s="5" t="s">
        <v>245</v>
      </c>
      <c r="J28" s="5" t="s">
        <v>246</v>
      </c>
      <c r="K28" s="5" t="s">
        <v>247</v>
      </c>
      <c r="L28" s="5" t="n">
        <v>9</v>
      </c>
      <c r="M28" s="5" t="s">
        <v>197</v>
      </c>
      <c r="N28" s="5" t="s">
        <v>25</v>
      </c>
    </row>
    <row r="29" customFormat="false" ht="43.25" hidden="false" customHeight="false" outlineLevel="0" collapsed="false">
      <c r="A29" s="5" t="n">
        <v>28</v>
      </c>
      <c r="B29" s="6" t="s">
        <v>248</v>
      </c>
      <c r="C29" s="5" t="s">
        <v>249</v>
      </c>
      <c r="D29" s="5" t="s">
        <v>131</v>
      </c>
      <c r="E29" s="5" t="s">
        <v>17</v>
      </c>
      <c r="F29" s="7" t="s">
        <v>250</v>
      </c>
      <c r="G29" s="5" t="s">
        <v>251</v>
      </c>
      <c r="H29" s="5" t="s">
        <v>252</v>
      </c>
      <c r="I29" s="5" t="s">
        <v>253</v>
      </c>
      <c r="J29" s="5" t="s">
        <v>254</v>
      </c>
      <c r="K29" s="5" t="s">
        <v>255</v>
      </c>
      <c r="L29" s="5" t="n">
        <v>9</v>
      </c>
      <c r="M29" s="5" t="s">
        <v>197</v>
      </c>
      <c r="N29" s="5" t="s">
        <v>25</v>
      </c>
    </row>
    <row r="30" customFormat="false" ht="32.8" hidden="false" customHeight="false" outlineLevel="0" collapsed="false">
      <c r="A30" s="5" t="n">
        <v>29</v>
      </c>
      <c r="B30" s="6" t="s">
        <v>256</v>
      </c>
      <c r="C30" s="5" t="s">
        <v>257</v>
      </c>
      <c r="D30" s="5" t="s">
        <v>16</v>
      </c>
      <c r="E30" s="5" t="s">
        <v>17</v>
      </c>
      <c r="F30" s="7" t="s">
        <v>258</v>
      </c>
      <c r="G30" s="5" t="s">
        <v>259</v>
      </c>
      <c r="H30" s="5" t="s">
        <v>260</v>
      </c>
      <c r="I30" s="5" t="s">
        <v>261</v>
      </c>
      <c r="J30" s="5" t="s">
        <v>262</v>
      </c>
      <c r="K30" s="5" t="s">
        <v>263</v>
      </c>
      <c r="L30" s="5" t="n">
        <v>7</v>
      </c>
      <c r="M30" s="5" t="s">
        <v>197</v>
      </c>
      <c r="N30" s="5" t="s">
        <v>25</v>
      </c>
    </row>
    <row r="31" customFormat="false" ht="32.8" hidden="false" customHeight="false" outlineLevel="0" collapsed="false">
      <c r="A31" s="5" t="n">
        <v>30</v>
      </c>
      <c r="B31" s="6" t="s">
        <v>264</v>
      </c>
      <c r="C31" s="5" t="s">
        <v>265</v>
      </c>
      <c r="D31" s="5" t="s">
        <v>266</v>
      </c>
      <c r="E31" s="5" t="s">
        <v>17</v>
      </c>
      <c r="F31" s="7" t="s">
        <v>267</v>
      </c>
      <c r="G31" s="5" t="s">
        <v>268</v>
      </c>
      <c r="H31" s="5" t="s">
        <v>269</v>
      </c>
      <c r="I31" s="5" t="s">
        <v>270</v>
      </c>
      <c r="J31" s="5" t="s">
        <v>271</v>
      </c>
      <c r="K31" s="5" t="s">
        <v>272</v>
      </c>
      <c r="L31" s="5" t="n">
        <v>8</v>
      </c>
      <c r="M31" s="5" t="s">
        <v>197</v>
      </c>
      <c r="N31" s="5" t="s">
        <v>25</v>
      </c>
    </row>
    <row r="32" customFormat="false" ht="32.8" hidden="false" customHeight="false" outlineLevel="0" collapsed="false">
      <c r="A32" s="5" t="n">
        <v>31</v>
      </c>
      <c r="B32" s="6" t="s">
        <v>273</v>
      </c>
      <c r="C32" s="5" t="s">
        <v>274</v>
      </c>
      <c r="D32" s="5" t="s">
        <v>275</v>
      </c>
      <c r="E32" s="5" t="s">
        <v>17</v>
      </c>
      <c r="F32" s="7" t="s">
        <v>276</v>
      </c>
      <c r="G32" s="5" t="s">
        <v>277</v>
      </c>
      <c r="H32" s="5" t="s">
        <v>194</v>
      </c>
      <c r="I32" s="5" t="s">
        <v>278</v>
      </c>
      <c r="J32" s="5" t="s">
        <v>279</v>
      </c>
      <c r="K32" s="5" t="s">
        <v>280</v>
      </c>
      <c r="L32" s="5" t="n">
        <v>9</v>
      </c>
      <c r="M32" s="5" t="s">
        <v>197</v>
      </c>
      <c r="N32" s="5" t="s">
        <v>25</v>
      </c>
    </row>
    <row r="33" customFormat="false" ht="32.8" hidden="false" customHeight="false" outlineLevel="0" collapsed="false">
      <c r="A33" s="5" t="n">
        <v>32</v>
      </c>
      <c r="B33" s="6" t="s">
        <v>281</v>
      </c>
      <c r="C33" s="5" t="s">
        <v>282</v>
      </c>
      <c r="D33" s="5" t="s">
        <v>16</v>
      </c>
      <c r="E33" s="5" t="s">
        <v>17</v>
      </c>
      <c r="F33" s="7" t="s">
        <v>283</v>
      </c>
      <c r="G33" s="5" t="s">
        <v>284</v>
      </c>
      <c r="H33" s="5" t="s">
        <v>285</v>
      </c>
      <c r="I33" s="5" t="s">
        <v>286</v>
      </c>
      <c r="J33" s="5" t="s">
        <v>287</v>
      </c>
      <c r="K33" s="5" t="s">
        <v>288</v>
      </c>
      <c r="L33" s="5" t="n">
        <v>7</v>
      </c>
      <c r="M33" s="5" t="s">
        <v>197</v>
      </c>
      <c r="N33" s="5" t="s">
        <v>25</v>
      </c>
    </row>
    <row r="34" customFormat="false" ht="32.8" hidden="false" customHeight="false" outlineLevel="0" collapsed="false">
      <c r="A34" s="8" t="n">
        <v>33</v>
      </c>
      <c r="B34" s="9" t="s">
        <v>289</v>
      </c>
      <c r="C34" s="8" t="s">
        <v>290</v>
      </c>
      <c r="D34" s="8" t="s">
        <v>16</v>
      </c>
      <c r="E34" s="8" t="s">
        <v>17</v>
      </c>
      <c r="F34" s="10" t="s">
        <v>291</v>
      </c>
      <c r="G34" s="8" t="s">
        <v>292</v>
      </c>
      <c r="H34" s="8" t="s">
        <v>293</v>
      </c>
      <c r="I34" s="8" t="s">
        <v>294</v>
      </c>
      <c r="J34" s="8" t="s">
        <v>295</v>
      </c>
      <c r="K34" s="8" t="s">
        <v>296</v>
      </c>
      <c r="L34" s="8" t="n">
        <v>8</v>
      </c>
      <c r="M34" s="8" t="s">
        <v>24</v>
      </c>
      <c r="N34" s="8" t="s">
        <v>25</v>
      </c>
    </row>
    <row r="35" customFormat="false" ht="32.8" hidden="false" customHeight="false" outlineLevel="0" collapsed="false">
      <c r="A35" s="11" t="n">
        <v>34</v>
      </c>
      <c r="B35" s="12" t="s">
        <v>297</v>
      </c>
      <c r="C35" s="11" t="s">
        <v>298</v>
      </c>
      <c r="D35" s="11" t="s">
        <v>16</v>
      </c>
      <c r="E35" s="11" t="s">
        <v>17</v>
      </c>
      <c r="F35" s="13" t="s">
        <v>141</v>
      </c>
      <c r="G35" s="11" t="s">
        <v>142</v>
      </c>
      <c r="H35" s="11" t="s">
        <v>299</v>
      </c>
      <c r="I35" s="11" t="s">
        <v>300</v>
      </c>
      <c r="J35" s="11" t="s">
        <v>301</v>
      </c>
      <c r="K35" s="11" t="s">
        <v>302</v>
      </c>
      <c r="L35" s="11" t="n">
        <v>8</v>
      </c>
      <c r="M35" s="11" t="s">
        <v>24</v>
      </c>
      <c r="N35" s="11" t="s">
        <v>25</v>
      </c>
    </row>
    <row r="36" customFormat="false" ht="32.8" hidden="false" customHeight="false" outlineLevel="0" collapsed="false">
      <c r="A36" s="8" t="n">
        <v>35</v>
      </c>
      <c r="B36" s="9" t="s">
        <v>303</v>
      </c>
      <c r="C36" s="8" t="s">
        <v>304</v>
      </c>
      <c r="D36" s="8" t="s">
        <v>16</v>
      </c>
      <c r="E36" s="8" t="s">
        <v>17</v>
      </c>
      <c r="F36" s="10" t="s">
        <v>305</v>
      </c>
      <c r="G36" s="8" t="s">
        <v>306</v>
      </c>
      <c r="H36" s="8" t="s">
        <v>307</v>
      </c>
      <c r="I36" s="8" t="s">
        <v>308</v>
      </c>
      <c r="J36" s="8" t="s">
        <v>309</v>
      </c>
      <c r="K36" s="8" t="s">
        <v>310</v>
      </c>
      <c r="L36" s="8" t="n">
        <v>8</v>
      </c>
      <c r="M36" s="8" t="s">
        <v>24</v>
      </c>
      <c r="N36" s="8" t="s">
        <v>25</v>
      </c>
    </row>
    <row r="37" customFormat="false" ht="32.8" hidden="false" customHeight="false" outlineLevel="0" collapsed="false">
      <c r="A37" s="11" t="n">
        <v>36</v>
      </c>
      <c r="B37" s="12" t="s">
        <v>311</v>
      </c>
      <c r="C37" s="11" t="s">
        <v>312</v>
      </c>
      <c r="D37" s="11" t="s">
        <v>16</v>
      </c>
      <c r="E37" s="11" t="s">
        <v>17</v>
      </c>
      <c r="F37" s="13" t="s">
        <v>313</v>
      </c>
      <c r="G37" s="11" t="s">
        <v>314</v>
      </c>
      <c r="H37" s="11" t="s">
        <v>315</v>
      </c>
      <c r="I37" s="11" t="s">
        <v>316</v>
      </c>
      <c r="J37" s="11" t="s">
        <v>317</v>
      </c>
      <c r="K37" s="11" t="s">
        <v>102</v>
      </c>
      <c r="L37" s="11" t="n">
        <v>8</v>
      </c>
      <c r="M37" s="11" t="s">
        <v>24</v>
      </c>
      <c r="N37" s="11" t="s">
        <v>25</v>
      </c>
    </row>
    <row r="38" customFormat="false" ht="32.8" hidden="false" customHeight="false" outlineLevel="0" collapsed="false">
      <c r="A38" s="8" t="n">
        <v>37</v>
      </c>
      <c r="B38" s="9" t="s">
        <v>318</v>
      </c>
      <c r="C38" s="8" t="s">
        <v>319</v>
      </c>
      <c r="D38" s="8" t="s">
        <v>320</v>
      </c>
      <c r="E38" s="8" t="s">
        <v>17</v>
      </c>
      <c r="F38" s="10" t="s">
        <v>321</v>
      </c>
      <c r="G38" s="8" t="s">
        <v>322</v>
      </c>
      <c r="H38" s="8" t="s">
        <v>323</v>
      </c>
      <c r="I38" s="8" t="s">
        <v>324</v>
      </c>
      <c r="J38" s="8" t="s">
        <v>325</v>
      </c>
      <c r="K38" s="8" t="s">
        <v>326</v>
      </c>
      <c r="L38" s="8" t="n">
        <v>10</v>
      </c>
      <c r="M38" s="8" t="s">
        <v>24</v>
      </c>
      <c r="N38" s="8" t="s">
        <v>25</v>
      </c>
    </row>
    <row r="39" customFormat="false" ht="22.35" hidden="false" customHeight="false" outlineLevel="0" collapsed="false">
      <c r="A39" s="5" t="n">
        <v>38</v>
      </c>
      <c r="B39" s="6" t="s">
        <v>327</v>
      </c>
      <c r="C39" s="5" t="s">
        <v>328</v>
      </c>
      <c r="D39" s="5" t="s">
        <v>122</v>
      </c>
      <c r="E39" s="5" t="s">
        <v>17</v>
      </c>
      <c r="F39" s="7" t="s">
        <v>329</v>
      </c>
      <c r="G39" s="5" t="s">
        <v>330</v>
      </c>
      <c r="H39" s="5" t="s">
        <v>331</v>
      </c>
      <c r="I39" s="5" t="s">
        <v>332</v>
      </c>
      <c r="J39" s="5" t="s">
        <v>333</v>
      </c>
      <c r="K39" s="5" t="s">
        <v>334</v>
      </c>
      <c r="L39" s="5" t="n">
        <v>7</v>
      </c>
      <c r="M39" s="5" t="s">
        <v>197</v>
      </c>
      <c r="N39" s="5" t="s">
        <v>25</v>
      </c>
    </row>
    <row r="40" customFormat="false" ht="32.8" hidden="false" customHeight="false" outlineLevel="0" collapsed="false">
      <c r="A40" s="5" t="n">
        <v>39</v>
      </c>
      <c r="B40" s="6" t="s">
        <v>335</v>
      </c>
      <c r="C40" s="5" t="s">
        <v>336</v>
      </c>
      <c r="D40" s="5" t="s">
        <v>337</v>
      </c>
      <c r="E40" s="5" t="s">
        <v>17</v>
      </c>
      <c r="F40" s="7" t="s">
        <v>338</v>
      </c>
      <c r="G40" s="5" t="s">
        <v>235</v>
      </c>
      <c r="H40" s="5" t="s">
        <v>339</v>
      </c>
      <c r="I40" s="5" t="s">
        <v>340</v>
      </c>
      <c r="J40" s="5" t="s">
        <v>341</v>
      </c>
      <c r="K40" s="5" t="s">
        <v>342</v>
      </c>
      <c r="L40" s="5" t="n">
        <v>8</v>
      </c>
      <c r="M40" s="5" t="s">
        <v>197</v>
      </c>
      <c r="N40" s="5" t="s">
        <v>25</v>
      </c>
    </row>
    <row r="41" customFormat="false" ht="32.8" hidden="false" customHeight="false" outlineLevel="0" collapsed="false">
      <c r="A41" s="11" t="n">
        <v>40</v>
      </c>
      <c r="B41" s="12" t="s">
        <v>343</v>
      </c>
      <c r="C41" s="11" t="s">
        <v>344</v>
      </c>
      <c r="D41" s="11" t="s">
        <v>16</v>
      </c>
      <c r="E41" s="11" t="s">
        <v>17</v>
      </c>
      <c r="F41" s="13" t="s">
        <v>345</v>
      </c>
      <c r="G41" s="11" t="s">
        <v>346</v>
      </c>
      <c r="H41" s="11" t="s">
        <v>347</v>
      </c>
      <c r="I41" s="11" t="s">
        <v>348</v>
      </c>
      <c r="J41" s="11" t="s">
        <v>349</v>
      </c>
      <c r="K41" s="11" t="s">
        <v>350</v>
      </c>
      <c r="L41" s="11" t="n">
        <v>8</v>
      </c>
      <c r="M41" s="11" t="s">
        <v>24</v>
      </c>
      <c r="N41" s="11" t="s">
        <v>25</v>
      </c>
    </row>
    <row r="42" customFormat="false" ht="32.8" hidden="false" customHeight="false" outlineLevel="0" collapsed="false">
      <c r="A42" s="8" t="n">
        <v>41</v>
      </c>
      <c r="B42" s="9" t="s">
        <v>351</v>
      </c>
      <c r="C42" s="8" t="s">
        <v>352</v>
      </c>
      <c r="D42" s="8" t="s">
        <v>16</v>
      </c>
      <c r="E42" s="8" t="s">
        <v>17</v>
      </c>
      <c r="F42" s="10" t="s">
        <v>353</v>
      </c>
      <c r="G42" s="8" t="s">
        <v>354</v>
      </c>
      <c r="H42" s="8" t="s">
        <v>355</v>
      </c>
      <c r="I42" s="8" t="s">
        <v>356</v>
      </c>
      <c r="J42" s="8" t="s">
        <v>357</v>
      </c>
      <c r="K42" s="8" t="s">
        <v>358</v>
      </c>
      <c r="L42" s="8" t="n">
        <v>8</v>
      </c>
      <c r="M42" s="8" t="s">
        <v>24</v>
      </c>
      <c r="N42" s="8" t="s">
        <v>25</v>
      </c>
    </row>
    <row r="43" customFormat="false" ht="22.35" hidden="false" customHeight="false" outlineLevel="0" collapsed="false">
      <c r="A43" s="11" t="n">
        <v>42</v>
      </c>
      <c r="B43" s="12" t="s">
        <v>359</v>
      </c>
      <c r="C43" s="11" t="s">
        <v>360</v>
      </c>
      <c r="D43" s="11" t="s">
        <v>361</v>
      </c>
      <c r="E43" s="11" t="s">
        <v>17</v>
      </c>
      <c r="F43" s="13" t="s">
        <v>362</v>
      </c>
      <c r="G43" s="11" t="s">
        <v>363</v>
      </c>
      <c r="H43" s="11" t="s">
        <v>364</v>
      </c>
      <c r="I43" s="11" t="s">
        <v>365</v>
      </c>
      <c r="J43" s="11" t="s">
        <v>366</v>
      </c>
      <c r="K43" s="11" t="s">
        <v>367</v>
      </c>
      <c r="L43" s="11" t="n">
        <v>8</v>
      </c>
      <c r="M43" s="11" t="s">
        <v>24</v>
      </c>
      <c r="N43" s="11" t="s">
        <v>25</v>
      </c>
    </row>
    <row r="44" customFormat="false" ht="32.8" hidden="false" customHeight="false" outlineLevel="0" collapsed="false">
      <c r="A44" s="8" t="n">
        <v>43</v>
      </c>
      <c r="B44" s="9" t="s">
        <v>368</v>
      </c>
      <c r="C44" s="8" t="s">
        <v>369</v>
      </c>
      <c r="D44" s="8" t="s">
        <v>16</v>
      </c>
      <c r="E44" s="8" t="s">
        <v>17</v>
      </c>
      <c r="F44" s="10" t="s">
        <v>370</v>
      </c>
      <c r="G44" s="8" t="s">
        <v>371</v>
      </c>
      <c r="H44" s="8" t="s">
        <v>372</v>
      </c>
      <c r="I44" s="8" t="s">
        <v>373</v>
      </c>
      <c r="J44" s="8" t="s">
        <v>374</v>
      </c>
      <c r="K44" s="8" t="s">
        <v>41</v>
      </c>
      <c r="L44" s="8" t="n">
        <v>8</v>
      </c>
      <c r="M44" s="8" t="s">
        <v>24</v>
      </c>
      <c r="N44" s="8" t="s">
        <v>25</v>
      </c>
    </row>
    <row r="45" customFormat="false" ht="32.8" hidden="false" customHeight="false" outlineLevel="0" collapsed="false">
      <c r="A45" s="11" t="n">
        <v>44</v>
      </c>
      <c r="B45" s="12" t="s">
        <v>375</v>
      </c>
      <c r="C45" s="11" t="s">
        <v>376</v>
      </c>
      <c r="D45" s="11" t="s">
        <v>16</v>
      </c>
      <c r="E45" s="11" t="s">
        <v>17</v>
      </c>
      <c r="F45" s="13" t="s">
        <v>377</v>
      </c>
      <c r="G45" s="11" t="s">
        <v>378</v>
      </c>
      <c r="H45" s="11" t="s">
        <v>379</v>
      </c>
      <c r="I45" s="11" t="s">
        <v>380</v>
      </c>
      <c r="J45" s="11" t="s">
        <v>381</v>
      </c>
      <c r="K45" s="11" t="s">
        <v>382</v>
      </c>
      <c r="L45" s="11" t="n">
        <v>8</v>
      </c>
      <c r="M45" s="11" t="s">
        <v>24</v>
      </c>
      <c r="N45" s="11" t="s">
        <v>25</v>
      </c>
    </row>
    <row r="46" customFormat="false" ht="32.8" hidden="false" customHeight="false" outlineLevel="0" collapsed="false">
      <c r="A46" s="8" t="n">
        <v>45</v>
      </c>
      <c r="B46" s="9" t="s">
        <v>383</v>
      </c>
      <c r="C46" s="8" t="s">
        <v>384</v>
      </c>
      <c r="D46" s="8" t="s">
        <v>16</v>
      </c>
      <c r="E46" s="8" t="s">
        <v>17</v>
      </c>
      <c r="F46" s="10" t="s">
        <v>385</v>
      </c>
      <c r="G46" s="8" t="s">
        <v>386</v>
      </c>
      <c r="H46" s="8" t="s">
        <v>387</v>
      </c>
      <c r="I46" s="8" t="s">
        <v>388</v>
      </c>
      <c r="J46" s="8" t="s">
        <v>389</v>
      </c>
      <c r="K46" s="8" t="s">
        <v>390</v>
      </c>
      <c r="L46" s="8" t="n">
        <v>8</v>
      </c>
      <c r="M46" s="8" t="s">
        <v>24</v>
      </c>
      <c r="N46" s="8" t="s">
        <v>25</v>
      </c>
    </row>
    <row r="47" customFormat="false" ht="32.8" hidden="false" customHeight="false" outlineLevel="0" collapsed="false">
      <c r="A47" s="11" t="n">
        <v>46</v>
      </c>
      <c r="B47" s="12" t="s">
        <v>391</v>
      </c>
      <c r="C47" s="11" t="s">
        <v>392</v>
      </c>
      <c r="D47" s="11" t="s">
        <v>16</v>
      </c>
      <c r="E47" s="11" t="s">
        <v>17</v>
      </c>
      <c r="F47" s="13" t="s">
        <v>393</v>
      </c>
      <c r="G47" s="11" t="s">
        <v>394</v>
      </c>
      <c r="H47" s="11" t="s">
        <v>395</v>
      </c>
      <c r="I47" s="11" t="s">
        <v>396</v>
      </c>
      <c r="J47" s="11" t="s">
        <v>397</v>
      </c>
      <c r="K47" s="11" t="s">
        <v>398</v>
      </c>
      <c r="L47" s="11" t="n">
        <v>8</v>
      </c>
      <c r="M47" s="11" t="s">
        <v>24</v>
      </c>
      <c r="N47" s="11" t="s">
        <v>25</v>
      </c>
    </row>
    <row r="48" customFormat="false" ht="32.8" hidden="false" customHeight="false" outlineLevel="0" collapsed="false">
      <c r="A48" s="8" t="n">
        <v>47</v>
      </c>
      <c r="B48" s="9" t="s">
        <v>399</v>
      </c>
      <c r="C48" s="8" t="s">
        <v>400</v>
      </c>
      <c r="D48" s="8" t="s">
        <v>16</v>
      </c>
      <c r="E48" s="8" t="s">
        <v>17</v>
      </c>
      <c r="F48" s="10" t="s">
        <v>401</v>
      </c>
      <c r="G48" s="8" t="s">
        <v>402</v>
      </c>
      <c r="H48" s="8" t="s">
        <v>403</v>
      </c>
      <c r="I48" s="8" t="s">
        <v>404</v>
      </c>
      <c r="J48" s="8" t="s">
        <v>405</v>
      </c>
      <c r="K48" s="8" t="s">
        <v>406</v>
      </c>
      <c r="L48" s="8" t="n">
        <v>8</v>
      </c>
      <c r="M48" s="8" t="s">
        <v>24</v>
      </c>
      <c r="N48" s="8" t="s">
        <v>25</v>
      </c>
    </row>
    <row r="49" customFormat="false" ht="32.8" hidden="false" customHeight="false" outlineLevel="0" collapsed="false">
      <c r="A49" s="11" t="n">
        <v>48</v>
      </c>
      <c r="B49" s="12" t="s">
        <v>407</v>
      </c>
      <c r="C49" s="11" t="s">
        <v>408</v>
      </c>
      <c r="D49" s="11" t="s">
        <v>409</v>
      </c>
      <c r="E49" s="11" t="s">
        <v>17</v>
      </c>
      <c r="F49" s="13" t="s">
        <v>132</v>
      </c>
      <c r="G49" s="11" t="s">
        <v>133</v>
      </c>
      <c r="H49" s="11" t="s">
        <v>410</v>
      </c>
      <c r="I49" s="11" t="s">
        <v>411</v>
      </c>
      <c r="J49" s="11" t="s">
        <v>412</v>
      </c>
      <c r="K49" s="11" t="s">
        <v>413</v>
      </c>
      <c r="L49" s="11" t="n">
        <v>9</v>
      </c>
      <c r="M49" s="11" t="s">
        <v>24</v>
      </c>
      <c r="N49" s="11" t="s">
        <v>25</v>
      </c>
    </row>
    <row r="50" customFormat="false" ht="32.8" hidden="false" customHeight="false" outlineLevel="0" collapsed="false">
      <c r="A50" s="8" t="n">
        <v>49</v>
      </c>
      <c r="B50" s="9" t="s">
        <v>414</v>
      </c>
      <c r="C50" s="8" t="s">
        <v>415</v>
      </c>
      <c r="D50" s="8" t="s">
        <v>416</v>
      </c>
      <c r="E50" s="8" t="s">
        <v>17</v>
      </c>
      <c r="F50" s="10" t="s">
        <v>417</v>
      </c>
      <c r="G50" s="8" t="s">
        <v>418</v>
      </c>
      <c r="H50" s="8" t="s">
        <v>419</v>
      </c>
      <c r="I50" s="8" t="s">
        <v>420</v>
      </c>
      <c r="J50" s="8" t="s">
        <v>421</v>
      </c>
      <c r="K50" s="8" t="s">
        <v>154</v>
      </c>
      <c r="L50" s="8" t="n">
        <v>9</v>
      </c>
      <c r="M50" s="8" t="s">
        <v>24</v>
      </c>
      <c r="N50" s="8" t="s">
        <v>25</v>
      </c>
    </row>
    <row r="51" customFormat="false" ht="32.8" hidden="false" customHeight="false" outlineLevel="0" collapsed="false">
      <c r="A51" s="5" t="n">
        <v>50</v>
      </c>
      <c r="B51" s="6" t="s">
        <v>422</v>
      </c>
      <c r="C51" s="5" t="s">
        <v>208</v>
      </c>
      <c r="D51" s="5" t="s">
        <v>423</v>
      </c>
      <c r="E51" s="5" t="s">
        <v>17</v>
      </c>
      <c r="F51" s="7" t="s">
        <v>424</v>
      </c>
      <c r="G51" s="5" t="s">
        <v>210</v>
      </c>
      <c r="H51" s="5" t="s">
        <v>425</v>
      </c>
      <c r="I51" s="5" t="s">
        <v>426</v>
      </c>
      <c r="J51" s="5" t="s">
        <v>427</v>
      </c>
      <c r="K51" s="5" t="s">
        <v>428</v>
      </c>
      <c r="L51" s="5" t="n">
        <v>8</v>
      </c>
      <c r="M51" s="5" t="s">
        <v>197</v>
      </c>
      <c r="N51" s="5" t="s">
        <v>25</v>
      </c>
    </row>
    <row r="52" customFormat="false" ht="32.8" hidden="false" customHeight="false" outlineLevel="0" collapsed="false">
      <c r="A52" s="8" t="n">
        <v>51</v>
      </c>
      <c r="B52" s="9" t="s">
        <v>429</v>
      </c>
      <c r="C52" s="8" t="s">
        <v>430</v>
      </c>
      <c r="D52" s="8" t="s">
        <v>70</v>
      </c>
      <c r="E52" s="8" t="s">
        <v>431</v>
      </c>
      <c r="F52" s="10" t="s">
        <v>432</v>
      </c>
      <c r="G52" s="8" t="s">
        <v>433</v>
      </c>
      <c r="H52" s="8" t="s">
        <v>434</v>
      </c>
      <c r="I52" s="8" t="s">
        <v>435</v>
      </c>
      <c r="J52" s="8" t="s">
        <v>436</v>
      </c>
      <c r="K52" s="8" t="s">
        <v>437</v>
      </c>
      <c r="L52" s="8" t="n">
        <v>9</v>
      </c>
      <c r="M52" s="8" t="s">
        <v>24</v>
      </c>
      <c r="N52" s="8" t="s">
        <v>25</v>
      </c>
    </row>
    <row r="53" customFormat="false" ht="32.8" hidden="false" customHeight="false" outlineLevel="0" collapsed="false">
      <c r="A53" s="8" t="n">
        <v>52</v>
      </c>
      <c r="B53" s="9" t="s">
        <v>438</v>
      </c>
      <c r="C53" s="8" t="s">
        <v>439</v>
      </c>
      <c r="D53" s="8" t="s">
        <v>440</v>
      </c>
      <c r="E53" s="8" t="s">
        <v>431</v>
      </c>
      <c r="F53" s="10" t="s">
        <v>441</v>
      </c>
      <c r="G53" s="8" t="s">
        <v>442</v>
      </c>
      <c r="H53" s="8" t="s">
        <v>443</v>
      </c>
      <c r="I53" s="8" t="s">
        <v>444</v>
      </c>
      <c r="J53" s="8" t="s">
        <v>445</v>
      </c>
      <c r="K53" s="8" t="s">
        <v>446</v>
      </c>
      <c r="L53" s="8" t="n">
        <v>9</v>
      </c>
      <c r="M53" s="8" t="s">
        <v>24</v>
      </c>
      <c r="N53" s="8" t="s">
        <v>447</v>
      </c>
    </row>
    <row r="54" customFormat="false" ht="43.25" hidden="false" customHeight="false" outlineLevel="0" collapsed="false">
      <c r="A54" s="8" t="n">
        <v>53</v>
      </c>
      <c r="B54" s="9" t="s">
        <v>448</v>
      </c>
      <c r="C54" s="8" t="s">
        <v>449</v>
      </c>
      <c r="D54" s="8" t="s">
        <v>16</v>
      </c>
      <c r="E54" s="8" t="s">
        <v>431</v>
      </c>
      <c r="F54" s="10" t="s">
        <v>450</v>
      </c>
      <c r="G54" s="8" t="s">
        <v>451</v>
      </c>
      <c r="H54" s="8" t="s">
        <v>452</v>
      </c>
      <c r="I54" s="8" t="s">
        <v>453</v>
      </c>
      <c r="J54" s="8" t="s">
        <v>454</v>
      </c>
      <c r="K54" s="8" t="s">
        <v>455</v>
      </c>
      <c r="L54" s="8" t="n">
        <v>10</v>
      </c>
      <c r="M54" s="8" t="s">
        <v>24</v>
      </c>
      <c r="N54" s="8" t="s">
        <v>25</v>
      </c>
    </row>
    <row r="55" customFormat="false" ht="32.8" hidden="false" customHeight="false" outlineLevel="0" collapsed="false">
      <c r="A55" s="11" t="n">
        <v>54</v>
      </c>
      <c r="B55" s="12" t="s">
        <v>456</v>
      </c>
      <c r="C55" s="11" t="s">
        <v>457</v>
      </c>
      <c r="D55" s="11" t="s">
        <v>16</v>
      </c>
      <c r="E55" s="11" t="s">
        <v>431</v>
      </c>
      <c r="F55" s="13" t="s">
        <v>458</v>
      </c>
      <c r="G55" s="11" t="s">
        <v>459</v>
      </c>
      <c r="H55" s="11" t="s">
        <v>460</v>
      </c>
      <c r="I55" s="11" t="s">
        <v>461</v>
      </c>
      <c r="J55" s="11" t="s">
        <v>462</v>
      </c>
      <c r="K55" s="11" t="s">
        <v>463</v>
      </c>
      <c r="L55" s="11" t="n">
        <v>9</v>
      </c>
      <c r="M55" s="11" t="s">
        <v>24</v>
      </c>
      <c r="N55" s="11" t="s">
        <v>25</v>
      </c>
    </row>
    <row r="56" customFormat="false" ht="32.8" hidden="false" customHeight="false" outlineLevel="0" collapsed="false">
      <c r="A56" s="8" t="n">
        <v>55</v>
      </c>
      <c r="B56" s="9" t="s">
        <v>464</v>
      </c>
      <c r="C56" s="8" t="s">
        <v>465</v>
      </c>
      <c r="D56" s="8" t="s">
        <v>466</v>
      </c>
      <c r="E56" s="8" t="s">
        <v>431</v>
      </c>
      <c r="F56" s="10" t="s">
        <v>467</v>
      </c>
      <c r="G56" s="8" t="s">
        <v>468</v>
      </c>
      <c r="H56" s="8" t="s">
        <v>469</v>
      </c>
      <c r="I56" s="8" t="s">
        <v>470</v>
      </c>
      <c r="J56" s="8" t="s">
        <v>471</v>
      </c>
      <c r="K56" s="8" t="s">
        <v>472</v>
      </c>
      <c r="L56" s="8" t="n">
        <v>8</v>
      </c>
      <c r="M56" s="8" t="s">
        <v>24</v>
      </c>
      <c r="N56" s="8" t="s">
        <v>25</v>
      </c>
    </row>
    <row r="57" customFormat="false" ht="32.8" hidden="false" customHeight="false" outlineLevel="0" collapsed="false">
      <c r="A57" s="11" t="n">
        <v>56</v>
      </c>
      <c r="B57" s="12" t="s">
        <v>473</v>
      </c>
      <c r="C57" s="11" t="s">
        <v>474</v>
      </c>
      <c r="D57" s="11" t="s">
        <v>16</v>
      </c>
      <c r="E57" s="11" t="s">
        <v>431</v>
      </c>
      <c r="F57" s="13" t="s">
        <v>475</v>
      </c>
      <c r="G57" s="11" t="s">
        <v>476</v>
      </c>
      <c r="H57" s="11" t="s">
        <v>477</v>
      </c>
      <c r="I57" s="11" t="s">
        <v>478</v>
      </c>
      <c r="J57" s="11" t="s">
        <v>479</v>
      </c>
      <c r="K57" s="11" t="s">
        <v>480</v>
      </c>
      <c r="L57" s="11" t="n">
        <v>10</v>
      </c>
      <c r="M57" s="11" t="s">
        <v>24</v>
      </c>
      <c r="N57" s="11" t="s">
        <v>25</v>
      </c>
    </row>
    <row r="58" customFormat="false" ht="32.8" hidden="false" customHeight="false" outlineLevel="0" collapsed="false">
      <c r="A58" s="8" t="n">
        <v>57</v>
      </c>
      <c r="B58" s="9" t="s">
        <v>481</v>
      </c>
      <c r="C58" s="8" t="s">
        <v>482</v>
      </c>
      <c r="D58" s="8" t="s">
        <v>16</v>
      </c>
      <c r="E58" s="8" t="s">
        <v>431</v>
      </c>
      <c r="F58" s="10" t="s">
        <v>483</v>
      </c>
      <c r="G58" s="8" t="s">
        <v>484</v>
      </c>
      <c r="H58" s="8" t="s">
        <v>485</v>
      </c>
      <c r="I58" s="8" t="s">
        <v>486</v>
      </c>
      <c r="J58" s="8" t="s">
        <v>487</v>
      </c>
      <c r="K58" s="8" t="s">
        <v>488</v>
      </c>
      <c r="L58" s="8" t="n">
        <v>10</v>
      </c>
      <c r="M58" s="8" t="s">
        <v>24</v>
      </c>
      <c r="N58" s="8" t="s">
        <v>25</v>
      </c>
    </row>
    <row r="59" customFormat="false" ht="32.8" hidden="false" customHeight="false" outlineLevel="0" collapsed="false">
      <c r="A59" s="11" t="n">
        <v>58</v>
      </c>
      <c r="B59" s="12" t="s">
        <v>489</v>
      </c>
      <c r="C59" s="11" t="s">
        <v>490</v>
      </c>
      <c r="D59" s="11" t="s">
        <v>131</v>
      </c>
      <c r="E59" s="11" t="s">
        <v>431</v>
      </c>
      <c r="F59" s="13" t="s">
        <v>491</v>
      </c>
      <c r="G59" s="11" t="s">
        <v>492</v>
      </c>
      <c r="H59" s="11" t="s">
        <v>493</v>
      </c>
      <c r="I59" s="11" t="s">
        <v>494</v>
      </c>
      <c r="J59" s="11" t="s">
        <v>495</v>
      </c>
      <c r="K59" s="11" t="s">
        <v>496</v>
      </c>
      <c r="L59" s="11" t="n">
        <v>10</v>
      </c>
      <c r="M59" s="11" t="s">
        <v>24</v>
      </c>
      <c r="N59" s="11" t="s">
        <v>25</v>
      </c>
    </row>
    <row r="60" customFormat="false" ht="32.8" hidden="false" customHeight="false" outlineLevel="0" collapsed="false">
      <c r="A60" s="8" t="n">
        <v>59</v>
      </c>
      <c r="B60" s="9" t="s">
        <v>497</v>
      </c>
      <c r="C60" s="8" t="s">
        <v>498</v>
      </c>
      <c r="D60" s="8" t="s">
        <v>70</v>
      </c>
      <c r="E60" s="8" t="s">
        <v>431</v>
      </c>
      <c r="F60" s="10" t="s">
        <v>499</v>
      </c>
      <c r="G60" s="8" t="s">
        <v>500</v>
      </c>
      <c r="H60" s="8" t="s">
        <v>501</v>
      </c>
      <c r="I60" s="8" t="s">
        <v>502</v>
      </c>
      <c r="J60" s="8" t="s">
        <v>503</v>
      </c>
      <c r="K60" s="8" t="s">
        <v>504</v>
      </c>
      <c r="L60" s="8" t="n">
        <v>10</v>
      </c>
      <c r="M60" s="8" t="s">
        <v>24</v>
      </c>
      <c r="N60" s="8" t="s">
        <v>25</v>
      </c>
    </row>
    <row r="61" customFormat="false" ht="32.8" hidden="false" customHeight="false" outlineLevel="0" collapsed="false">
      <c r="A61" s="11" t="n">
        <v>60</v>
      </c>
      <c r="B61" s="12" t="s">
        <v>505</v>
      </c>
      <c r="C61" s="11" t="s">
        <v>506</v>
      </c>
      <c r="D61" s="11" t="s">
        <v>131</v>
      </c>
      <c r="E61" s="11" t="s">
        <v>431</v>
      </c>
      <c r="F61" s="13" t="s">
        <v>507</v>
      </c>
      <c r="G61" s="11" t="s">
        <v>508</v>
      </c>
      <c r="H61" s="11" t="s">
        <v>509</v>
      </c>
      <c r="I61" s="11" t="s">
        <v>510</v>
      </c>
      <c r="J61" s="11" t="s">
        <v>511</v>
      </c>
      <c r="K61" s="11" t="s">
        <v>512</v>
      </c>
      <c r="L61" s="11" t="n">
        <v>10</v>
      </c>
      <c r="M61" s="11" t="s">
        <v>24</v>
      </c>
      <c r="N61" s="11" t="s">
        <v>25</v>
      </c>
    </row>
    <row r="62" customFormat="false" ht="32.8" hidden="false" customHeight="false" outlineLevel="0" collapsed="false">
      <c r="A62" s="8" t="n">
        <v>61</v>
      </c>
      <c r="B62" s="9" t="s">
        <v>513</v>
      </c>
      <c r="C62" s="8" t="s">
        <v>514</v>
      </c>
      <c r="D62" s="8" t="s">
        <v>16</v>
      </c>
      <c r="E62" s="8" t="s">
        <v>431</v>
      </c>
      <c r="F62" s="10" t="s">
        <v>515</v>
      </c>
      <c r="G62" s="8" t="s">
        <v>516</v>
      </c>
      <c r="H62" s="8" t="s">
        <v>517</v>
      </c>
      <c r="I62" s="8" t="s">
        <v>518</v>
      </c>
      <c r="J62" s="8" t="s">
        <v>519</v>
      </c>
      <c r="K62" s="8" t="s">
        <v>520</v>
      </c>
      <c r="L62" s="8" t="n">
        <v>8</v>
      </c>
      <c r="M62" s="8" t="s">
        <v>24</v>
      </c>
      <c r="N62" s="8" t="s">
        <v>25</v>
      </c>
    </row>
    <row r="63" customFormat="false" ht="22.35" hidden="false" customHeight="false" outlineLevel="0" collapsed="false">
      <c r="A63" s="11" t="n">
        <v>62</v>
      </c>
      <c r="B63" s="12" t="s">
        <v>521</v>
      </c>
      <c r="C63" s="11" t="s">
        <v>522</v>
      </c>
      <c r="D63" s="11" t="s">
        <v>16</v>
      </c>
      <c r="E63" s="11" t="s">
        <v>431</v>
      </c>
      <c r="F63" s="13" t="s">
        <v>523</v>
      </c>
      <c r="G63" s="11" t="s">
        <v>524</v>
      </c>
      <c r="H63" s="11" t="s">
        <v>525</v>
      </c>
      <c r="I63" s="11" t="s">
        <v>526</v>
      </c>
      <c r="J63" s="11" t="s">
        <v>527</v>
      </c>
      <c r="K63" s="11" t="s">
        <v>398</v>
      </c>
      <c r="L63" s="11" t="n">
        <v>9</v>
      </c>
      <c r="M63" s="11" t="s">
        <v>24</v>
      </c>
      <c r="N63" s="11" t="s">
        <v>25</v>
      </c>
    </row>
    <row r="64" customFormat="false" ht="32.8" hidden="false" customHeight="false" outlineLevel="0" collapsed="false">
      <c r="A64" s="8" t="n">
        <v>63</v>
      </c>
      <c r="B64" s="9" t="s">
        <v>528</v>
      </c>
      <c r="C64" s="8" t="s">
        <v>529</v>
      </c>
      <c r="D64" s="8" t="s">
        <v>530</v>
      </c>
      <c r="E64" s="8" t="s">
        <v>431</v>
      </c>
      <c r="F64" s="10" t="s">
        <v>531</v>
      </c>
      <c r="G64" s="8" t="s">
        <v>532</v>
      </c>
      <c r="H64" s="8" t="s">
        <v>533</v>
      </c>
      <c r="I64" s="8" t="s">
        <v>534</v>
      </c>
      <c r="J64" s="8" t="s">
        <v>535</v>
      </c>
      <c r="K64" s="8" t="s">
        <v>536</v>
      </c>
      <c r="L64" s="8" t="n">
        <v>8</v>
      </c>
      <c r="M64" s="8" t="s">
        <v>24</v>
      </c>
      <c r="N64" s="8" t="s">
        <v>25</v>
      </c>
    </row>
    <row r="65" customFormat="false" ht="32.8" hidden="false" customHeight="false" outlineLevel="0" collapsed="false">
      <c r="A65" s="11" t="n">
        <v>64</v>
      </c>
      <c r="B65" s="12" t="s">
        <v>537</v>
      </c>
      <c r="C65" s="11" t="s">
        <v>538</v>
      </c>
      <c r="D65" s="11" t="s">
        <v>16</v>
      </c>
      <c r="E65" s="11" t="s">
        <v>431</v>
      </c>
      <c r="F65" s="13" t="s">
        <v>539</v>
      </c>
      <c r="G65" s="11" t="s">
        <v>540</v>
      </c>
      <c r="H65" s="11" t="s">
        <v>541</v>
      </c>
      <c r="I65" s="11" t="s">
        <v>542</v>
      </c>
      <c r="J65" s="11" t="s">
        <v>543</v>
      </c>
      <c r="K65" s="11" t="s">
        <v>544</v>
      </c>
      <c r="L65" s="11" t="n">
        <v>9</v>
      </c>
      <c r="M65" s="11" t="s">
        <v>24</v>
      </c>
      <c r="N65" s="11" t="s">
        <v>25</v>
      </c>
    </row>
    <row r="66" customFormat="false" ht="22.35" hidden="false" customHeight="false" outlineLevel="0" collapsed="false">
      <c r="A66" s="8" t="n">
        <v>65</v>
      </c>
      <c r="B66" s="9" t="s">
        <v>545</v>
      </c>
      <c r="C66" s="8" t="s">
        <v>546</v>
      </c>
      <c r="D66" s="8" t="s">
        <v>16</v>
      </c>
      <c r="E66" s="8" t="s">
        <v>431</v>
      </c>
      <c r="F66" s="10" t="s">
        <v>547</v>
      </c>
      <c r="G66" s="8" t="s">
        <v>548</v>
      </c>
      <c r="H66" s="8" t="s">
        <v>549</v>
      </c>
      <c r="I66" s="8" t="s">
        <v>550</v>
      </c>
      <c r="J66" s="8" t="s">
        <v>551</v>
      </c>
      <c r="K66" s="8" t="s">
        <v>552</v>
      </c>
      <c r="L66" s="8" t="n">
        <v>9</v>
      </c>
      <c r="M66" s="8" t="s">
        <v>24</v>
      </c>
      <c r="N66" s="8" t="s">
        <v>25</v>
      </c>
    </row>
    <row r="67" customFormat="false" ht="32.8" hidden="false" customHeight="false" outlineLevel="0" collapsed="false">
      <c r="A67" s="8" t="n">
        <v>66</v>
      </c>
      <c r="B67" s="9" t="s">
        <v>553</v>
      </c>
      <c r="C67" s="8" t="s">
        <v>554</v>
      </c>
      <c r="D67" s="8" t="s">
        <v>16</v>
      </c>
      <c r="E67" s="8" t="s">
        <v>431</v>
      </c>
      <c r="F67" s="10" t="s">
        <v>555</v>
      </c>
      <c r="G67" s="8" t="s">
        <v>556</v>
      </c>
      <c r="H67" s="8" t="s">
        <v>557</v>
      </c>
      <c r="I67" s="8" t="s">
        <v>558</v>
      </c>
      <c r="J67" s="8" t="s">
        <v>559</v>
      </c>
      <c r="K67" s="8" t="s">
        <v>560</v>
      </c>
      <c r="L67" s="8" t="n">
        <v>9</v>
      </c>
      <c r="M67" s="8" t="s">
        <v>24</v>
      </c>
      <c r="N67" s="8" t="s">
        <v>447</v>
      </c>
    </row>
    <row r="68" customFormat="false" ht="32.8" hidden="false" customHeight="false" outlineLevel="0" collapsed="false">
      <c r="A68" s="8" t="n">
        <v>67</v>
      </c>
      <c r="B68" s="9" t="s">
        <v>561</v>
      </c>
      <c r="C68" s="8" t="s">
        <v>562</v>
      </c>
      <c r="D68" s="8" t="s">
        <v>16</v>
      </c>
      <c r="E68" s="8" t="s">
        <v>431</v>
      </c>
      <c r="F68" s="10" t="s">
        <v>563</v>
      </c>
      <c r="G68" s="8" t="s">
        <v>564</v>
      </c>
      <c r="H68" s="8" t="s">
        <v>565</v>
      </c>
      <c r="I68" s="8" t="s">
        <v>566</v>
      </c>
      <c r="J68" s="8" t="s">
        <v>567</v>
      </c>
      <c r="K68" s="8" t="s">
        <v>568</v>
      </c>
      <c r="L68" s="8" t="n">
        <v>8</v>
      </c>
      <c r="M68" s="8" t="s">
        <v>24</v>
      </c>
      <c r="N68" s="8" t="s">
        <v>25</v>
      </c>
    </row>
    <row r="69" customFormat="false" ht="32.8" hidden="false" customHeight="false" outlineLevel="0" collapsed="false">
      <c r="A69" s="11" t="n">
        <v>68</v>
      </c>
      <c r="B69" s="12" t="s">
        <v>569</v>
      </c>
      <c r="C69" s="11" t="s">
        <v>570</v>
      </c>
      <c r="D69" s="11" t="s">
        <v>571</v>
      </c>
      <c r="E69" s="11" t="s">
        <v>431</v>
      </c>
      <c r="F69" s="13" t="s">
        <v>572</v>
      </c>
      <c r="G69" s="11" t="s">
        <v>573</v>
      </c>
      <c r="H69" s="11" t="s">
        <v>574</v>
      </c>
      <c r="I69" s="11" t="s">
        <v>575</v>
      </c>
      <c r="J69" s="11" t="s">
        <v>576</v>
      </c>
      <c r="K69" s="11" t="s">
        <v>577</v>
      </c>
      <c r="L69" s="11" t="n">
        <v>9</v>
      </c>
      <c r="M69" s="11" t="s">
        <v>24</v>
      </c>
      <c r="N69" s="11" t="s">
        <v>25</v>
      </c>
    </row>
    <row r="70" customFormat="false" ht="32.8" hidden="false" customHeight="false" outlineLevel="0" collapsed="false">
      <c r="A70" s="14" t="n">
        <v>69</v>
      </c>
      <c r="B70" s="15" t="s">
        <v>578</v>
      </c>
      <c r="C70" s="14" t="s">
        <v>579</v>
      </c>
      <c r="D70" s="14" t="s">
        <v>16</v>
      </c>
      <c r="E70" s="14" t="s">
        <v>431</v>
      </c>
      <c r="F70" s="16" t="s">
        <v>580</v>
      </c>
      <c r="G70" s="14" t="s">
        <v>581</v>
      </c>
      <c r="H70" s="14" t="s">
        <v>582</v>
      </c>
      <c r="I70" s="14" t="s">
        <v>583</v>
      </c>
      <c r="J70" s="14" t="s">
        <v>584</v>
      </c>
      <c r="K70" s="14" t="s">
        <v>585</v>
      </c>
      <c r="L70" s="14" t="n">
        <v>8</v>
      </c>
      <c r="M70" s="14" t="s">
        <v>24</v>
      </c>
      <c r="N70" s="14" t="s">
        <v>447</v>
      </c>
    </row>
    <row r="71" customFormat="false" ht="43.25" hidden="false" customHeight="false" outlineLevel="0" collapsed="false">
      <c r="A71" s="11" t="n">
        <v>70</v>
      </c>
      <c r="B71" s="12" t="s">
        <v>586</v>
      </c>
      <c r="C71" s="11" t="s">
        <v>587</v>
      </c>
      <c r="D71" s="11" t="s">
        <v>588</v>
      </c>
      <c r="E71" s="11" t="s">
        <v>431</v>
      </c>
      <c r="F71" s="13" t="s">
        <v>589</v>
      </c>
      <c r="G71" s="11" t="s">
        <v>590</v>
      </c>
      <c r="H71" s="11" t="s">
        <v>591</v>
      </c>
      <c r="I71" s="11" t="s">
        <v>592</v>
      </c>
      <c r="J71" s="11" t="s">
        <v>593</v>
      </c>
      <c r="K71" s="11" t="s">
        <v>230</v>
      </c>
      <c r="L71" s="11" t="n">
        <v>9</v>
      </c>
      <c r="M71" s="11" t="s">
        <v>24</v>
      </c>
      <c r="N71" s="11" t="s">
        <v>25</v>
      </c>
    </row>
    <row r="72" customFormat="false" ht="32.8" hidden="false" customHeight="false" outlineLevel="0" collapsed="false">
      <c r="A72" s="14" t="n">
        <v>71</v>
      </c>
      <c r="B72" s="15" t="s">
        <v>594</v>
      </c>
      <c r="C72" s="14" t="s">
        <v>595</v>
      </c>
      <c r="D72" s="14" t="s">
        <v>596</v>
      </c>
      <c r="E72" s="14" t="s">
        <v>597</v>
      </c>
      <c r="F72" s="16" t="s">
        <v>598</v>
      </c>
      <c r="G72" s="14" t="s">
        <v>599</v>
      </c>
      <c r="H72" s="14" t="s">
        <v>600</v>
      </c>
      <c r="I72" s="14" t="s">
        <v>601</v>
      </c>
      <c r="J72" s="14" t="s">
        <v>602</v>
      </c>
      <c r="K72" s="14" t="s">
        <v>603</v>
      </c>
      <c r="L72" s="14" t="n">
        <v>8</v>
      </c>
      <c r="M72" s="14" t="s">
        <v>24</v>
      </c>
      <c r="N72" s="14" t="s">
        <v>447</v>
      </c>
    </row>
    <row r="73" customFormat="false" ht="32.8" hidden="false" customHeight="false" outlineLevel="0" collapsed="false">
      <c r="A73" s="8" t="n">
        <v>72</v>
      </c>
      <c r="B73" s="9" t="s">
        <v>604</v>
      </c>
      <c r="C73" s="8" t="s">
        <v>605</v>
      </c>
      <c r="D73" s="8" t="s">
        <v>131</v>
      </c>
      <c r="E73" s="8" t="s">
        <v>597</v>
      </c>
      <c r="F73" s="10" t="s">
        <v>606</v>
      </c>
      <c r="G73" s="8" t="s">
        <v>607</v>
      </c>
      <c r="H73" s="8" t="s">
        <v>194</v>
      </c>
      <c r="I73" s="8" t="s">
        <v>608</v>
      </c>
      <c r="J73" s="8" t="s">
        <v>609</v>
      </c>
      <c r="K73" s="8" t="s">
        <v>137</v>
      </c>
      <c r="L73" s="8" t="n">
        <v>9</v>
      </c>
      <c r="M73" s="8" t="s">
        <v>24</v>
      </c>
      <c r="N73" s="8" t="s">
        <v>447</v>
      </c>
    </row>
    <row r="74" customFormat="false" ht="32.8" hidden="false" customHeight="false" outlineLevel="0" collapsed="false">
      <c r="A74" s="14" t="n">
        <v>73</v>
      </c>
      <c r="B74" s="15" t="s">
        <v>610</v>
      </c>
      <c r="C74" s="14" t="s">
        <v>611</v>
      </c>
      <c r="D74" s="14" t="s">
        <v>16</v>
      </c>
      <c r="E74" s="14" t="s">
        <v>597</v>
      </c>
      <c r="F74" s="16" t="s">
        <v>612</v>
      </c>
      <c r="G74" s="14" t="s">
        <v>613</v>
      </c>
      <c r="H74" s="14" t="s">
        <v>614</v>
      </c>
      <c r="I74" s="14" t="s">
        <v>615</v>
      </c>
      <c r="J74" s="14" t="s">
        <v>616</v>
      </c>
      <c r="K74" s="14" t="s">
        <v>617</v>
      </c>
      <c r="L74" s="14" t="n">
        <v>9</v>
      </c>
      <c r="M74" s="14" t="s">
        <v>24</v>
      </c>
      <c r="N74" s="14" t="s">
        <v>447</v>
      </c>
    </row>
    <row r="75" customFormat="false" ht="32.8" hidden="false" customHeight="false" outlineLevel="0" collapsed="false">
      <c r="A75" s="8" t="n">
        <v>74</v>
      </c>
      <c r="B75" s="9" t="s">
        <v>618</v>
      </c>
      <c r="C75" s="8" t="s">
        <v>619</v>
      </c>
      <c r="D75" s="8" t="s">
        <v>16</v>
      </c>
      <c r="E75" s="8" t="s">
        <v>597</v>
      </c>
      <c r="F75" s="10" t="s">
        <v>620</v>
      </c>
      <c r="G75" s="8" t="s">
        <v>621</v>
      </c>
      <c r="H75" s="8" t="s">
        <v>622</v>
      </c>
      <c r="I75" s="8" t="s">
        <v>623</v>
      </c>
      <c r="J75" s="8" t="s">
        <v>624</v>
      </c>
      <c r="K75" s="8" t="s">
        <v>625</v>
      </c>
      <c r="L75" s="8" t="n">
        <v>9</v>
      </c>
      <c r="M75" s="8" t="s">
        <v>24</v>
      </c>
      <c r="N75" s="8" t="s">
        <v>447</v>
      </c>
    </row>
    <row r="76" customFormat="false" ht="32.8" hidden="false" customHeight="false" outlineLevel="0" collapsed="false">
      <c r="A76" s="14" t="n">
        <v>75</v>
      </c>
      <c r="B76" s="15" t="s">
        <v>626</v>
      </c>
      <c r="C76" s="14" t="s">
        <v>627</v>
      </c>
      <c r="D76" s="14" t="s">
        <v>16</v>
      </c>
      <c r="E76" s="14" t="s">
        <v>597</v>
      </c>
      <c r="F76" s="16" t="s">
        <v>628</v>
      </c>
      <c r="G76" s="14" t="s">
        <v>629</v>
      </c>
      <c r="H76" s="14" t="s">
        <v>630</v>
      </c>
      <c r="I76" s="14" t="s">
        <v>631</v>
      </c>
      <c r="J76" s="14" t="s">
        <v>632</v>
      </c>
      <c r="K76" s="14" t="s">
        <v>302</v>
      </c>
      <c r="L76" s="14" t="n">
        <v>8</v>
      </c>
      <c r="M76" s="14" t="s">
        <v>24</v>
      </c>
      <c r="N76" s="14" t="s">
        <v>447</v>
      </c>
    </row>
    <row r="77" customFormat="false" ht="32.8" hidden="false" customHeight="false" outlineLevel="0" collapsed="false">
      <c r="A77" s="8" t="n">
        <v>76</v>
      </c>
      <c r="B77" s="9" t="s">
        <v>633</v>
      </c>
      <c r="C77" s="8" t="s">
        <v>634</v>
      </c>
      <c r="D77" s="8" t="s">
        <v>16</v>
      </c>
      <c r="E77" s="8" t="s">
        <v>597</v>
      </c>
      <c r="F77" s="10" t="s">
        <v>635</v>
      </c>
      <c r="G77" s="8" t="s">
        <v>636</v>
      </c>
      <c r="H77" s="8" t="s">
        <v>637</v>
      </c>
      <c r="I77" s="8" t="s">
        <v>638</v>
      </c>
      <c r="J77" s="8" t="s">
        <v>639</v>
      </c>
      <c r="K77" s="8" t="s">
        <v>640</v>
      </c>
      <c r="L77" s="8" t="n">
        <v>8</v>
      </c>
      <c r="M77" s="8" t="s">
        <v>24</v>
      </c>
      <c r="N77" s="8" t="s">
        <v>447</v>
      </c>
    </row>
    <row r="78" customFormat="false" ht="32.8" hidden="false" customHeight="false" outlineLevel="0" collapsed="false">
      <c r="A78" s="14" t="n">
        <v>77</v>
      </c>
      <c r="B78" s="15" t="s">
        <v>641</v>
      </c>
      <c r="C78" s="14" t="s">
        <v>642</v>
      </c>
      <c r="D78" s="14" t="s">
        <v>16</v>
      </c>
      <c r="E78" s="14" t="s">
        <v>597</v>
      </c>
      <c r="F78" s="16" t="s">
        <v>643</v>
      </c>
      <c r="G78" s="14" t="s">
        <v>644</v>
      </c>
      <c r="H78" s="14" t="s">
        <v>645</v>
      </c>
      <c r="I78" s="14" t="s">
        <v>646</v>
      </c>
      <c r="J78" s="14" t="s">
        <v>647</v>
      </c>
      <c r="K78" s="14" t="s">
        <v>41</v>
      </c>
      <c r="L78" s="14" t="n">
        <v>9</v>
      </c>
      <c r="M78" s="14" t="s">
        <v>24</v>
      </c>
      <c r="N78" s="14" t="s">
        <v>447</v>
      </c>
    </row>
    <row r="79" customFormat="false" ht="32.8" hidden="false" customHeight="false" outlineLevel="0" collapsed="false">
      <c r="A79" s="8" t="n">
        <v>78</v>
      </c>
      <c r="B79" s="9" t="s">
        <v>648</v>
      </c>
      <c r="C79" s="8" t="s">
        <v>649</v>
      </c>
      <c r="D79" s="8" t="s">
        <v>70</v>
      </c>
      <c r="E79" s="8" t="s">
        <v>597</v>
      </c>
      <c r="F79" s="10" t="s">
        <v>650</v>
      </c>
      <c r="G79" s="8" t="s">
        <v>651</v>
      </c>
      <c r="H79" s="8" t="s">
        <v>652</v>
      </c>
      <c r="I79" s="8" t="s">
        <v>653</v>
      </c>
      <c r="J79" s="8" t="s">
        <v>654</v>
      </c>
      <c r="K79" s="8" t="s">
        <v>655</v>
      </c>
      <c r="L79" s="8" t="n">
        <v>9</v>
      </c>
      <c r="M79" s="8" t="s">
        <v>24</v>
      </c>
      <c r="N79" s="8" t="s">
        <v>447</v>
      </c>
    </row>
    <row r="80" customFormat="false" ht="32.8" hidden="false" customHeight="false" outlineLevel="0" collapsed="false">
      <c r="A80" s="14" t="n">
        <v>79</v>
      </c>
      <c r="B80" s="15" t="s">
        <v>656</v>
      </c>
      <c r="C80" s="14" t="s">
        <v>657</v>
      </c>
      <c r="D80" s="14" t="s">
        <v>16</v>
      </c>
      <c r="E80" s="14" t="s">
        <v>597</v>
      </c>
      <c r="F80" s="16" t="s">
        <v>658</v>
      </c>
      <c r="G80" s="14" t="s">
        <v>659</v>
      </c>
      <c r="H80" s="14" t="s">
        <v>660</v>
      </c>
      <c r="I80" s="14" t="s">
        <v>661</v>
      </c>
      <c r="J80" s="14" t="s">
        <v>662</v>
      </c>
      <c r="K80" s="14" t="s">
        <v>625</v>
      </c>
      <c r="L80" s="14" t="n">
        <v>9</v>
      </c>
      <c r="M80" s="14" t="s">
        <v>24</v>
      </c>
      <c r="N80" s="14" t="s">
        <v>447</v>
      </c>
    </row>
    <row r="81" customFormat="false" ht="32.8" hidden="false" customHeight="false" outlineLevel="0" collapsed="false">
      <c r="A81" s="8" t="n">
        <v>80</v>
      </c>
      <c r="B81" s="9" t="s">
        <v>663</v>
      </c>
      <c r="C81" s="8" t="s">
        <v>664</v>
      </c>
      <c r="D81" s="8" t="s">
        <v>16</v>
      </c>
      <c r="E81" s="8" t="s">
        <v>597</v>
      </c>
      <c r="F81" s="10" t="s">
        <v>665</v>
      </c>
      <c r="G81" s="8" t="s">
        <v>666</v>
      </c>
      <c r="H81" s="8" t="s">
        <v>667</v>
      </c>
      <c r="I81" s="8" t="s">
        <v>668</v>
      </c>
      <c r="J81" s="8" t="s">
        <v>669</v>
      </c>
      <c r="K81" s="8" t="s">
        <v>670</v>
      </c>
      <c r="L81" s="8" t="n">
        <v>10</v>
      </c>
      <c r="M81" s="8" t="s">
        <v>24</v>
      </c>
      <c r="N81" s="8" t="s">
        <v>447</v>
      </c>
    </row>
    <row r="82" customFormat="false" ht="32.8" hidden="false" customHeight="false" outlineLevel="0" collapsed="false">
      <c r="A82" s="14" t="n">
        <v>81</v>
      </c>
      <c r="B82" s="15" t="s">
        <v>671</v>
      </c>
      <c r="C82" s="14" t="s">
        <v>672</v>
      </c>
      <c r="D82" s="14" t="s">
        <v>16</v>
      </c>
      <c r="E82" s="14" t="s">
        <v>597</v>
      </c>
      <c r="F82" s="16" t="s">
        <v>673</v>
      </c>
      <c r="G82" s="14" t="s">
        <v>674</v>
      </c>
      <c r="H82" s="14" t="s">
        <v>675</v>
      </c>
      <c r="I82" s="14" t="s">
        <v>676</v>
      </c>
      <c r="J82" s="14" t="s">
        <v>677</v>
      </c>
      <c r="K82" s="14" t="s">
        <v>398</v>
      </c>
      <c r="L82" s="14" t="n">
        <v>8</v>
      </c>
      <c r="M82" s="14" t="s">
        <v>24</v>
      </c>
      <c r="N82" s="14" t="s">
        <v>447</v>
      </c>
    </row>
    <row r="83" customFormat="false" ht="32.8" hidden="false" customHeight="false" outlineLevel="0" collapsed="false">
      <c r="A83" s="8" t="n">
        <v>82</v>
      </c>
      <c r="B83" s="9" t="s">
        <v>678</v>
      </c>
      <c r="C83" s="8" t="s">
        <v>679</v>
      </c>
      <c r="D83" s="8" t="s">
        <v>16</v>
      </c>
      <c r="E83" s="8" t="s">
        <v>597</v>
      </c>
      <c r="F83" s="10" t="s">
        <v>680</v>
      </c>
      <c r="G83" s="8" t="s">
        <v>681</v>
      </c>
      <c r="H83" s="8" t="s">
        <v>682</v>
      </c>
      <c r="I83" s="8" t="s">
        <v>683</v>
      </c>
      <c r="J83" s="8" t="s">
        <v>684</v>
      </c>
      <c r="K83" s="8" t="s">
        <v>413</v>
      </c>
      <c r="L83" s="8" t="n">
        <v>10</v>
      </c>
      <c r="M83" s="8" t="s">
        <v>24</v>
      </c>
      <c r="N83" s="8" t="s">
        <v>447</v>
      </c>
    </row>
    <row r="84" customFormat="false" ht="32.8" hidden="false" customHeight="false" outlineLevel="0" collapsed="false">
      <c r="A84" s="14" t="n">
        <v>83</v>
      </c>
      <c r="B84" s="15" t="s">
        <v>685</v>
      </c>
      <c r="C84" s="14" t="s">
        <v>686</v>
      </c>
      <c r="D84" s="14" t="s">
        <v>70</v>
      </c>
      <c r="E84" s="14" t="s">
        <v>597</v>
      </c>
      <c r="F84" s="16" t="s">
        <v>687</v>
      </c>
      <c r="G84" s="14" t="s">
        <v>688</v>
      </c>
      <c r="H84" s="14" t="s">
        <v>689</v>
      </c>
      <c r="I84" s="14" t="s">
        <v>690</v>
      </c>
      <c r="J84" s="14" t="s">
        <v>691</v>
      </c>
      <c r="K84" s="14" t="s">
        <v>692</v>
      </c>
      <c r="L84" s="14" t="n">
        <v>9</v>
      </c>
      <c r="M84" s="14" t="s">
        <v>24</v>
      </c>
      <c r="N84" s="14" t="s">
        <v>447</v>
      </c>
    </row>
    <row r="85" customFormat="false" ht="22.35" hidden="false" customHeight="false" outlineLevel="0" collapsed="false">
      <c r="A85" s="8" t="n">
        <v>84</v>
      </c>
      <c r="B85" s="9" t="s">
        <v>693</v>
      </c>
      <c r="C85" s="8" t="s">
        <v>694</v>
      </c>
      <c r="D85" s="8" t="s">
        <v>16</v>
      </c>
      <c r="E85" s="8" t="s">
        <v>597</v>
      </c>
      <c r="F85" s="10" t="s">
        <v>695</v>
      </c>
      <c r="G85" s="8" t="s">
        <v>696</v>
      </c>
      <c r="H85" s="8" t="s">
        <v>697</v>
      </c>
      <c r="I85" s="8" t="s">
        <v>698</v>
      </c>
      <c r="J85" s="8" t="s">
        <v>699</v>
      </c>
      <c r="K85" s="8" t="s">
        <v>700</v>
      </c>
      <c r="L85" s="8" t="n">
        <v>8</v>
      </c>
      <c r="M85" s="8" t="s">
        <v>24</v>
      </c>
      <c r="N85" s="8" t="s">
        <v>447</v>
      </c>
    </row>
    <row r="86" customFormat="false" ht="32.8" hidden="false" customHeight="false" outlineLevel="0" collapsed="false">
      <c r="A86" s="14" t="n">
        <v>85</v>
      </c>
      <c r="B86" s="15" t="s">
        <v>701</v>
      </c>
      <c r="C86" s="14" t="s">
        <v>702</v>
      </c>
      <c r="D86" s="14" t="s">
        <v>16</v>
      </c>
      <c r="E86" s="14" t="s">
        <v>597</v>
      </c>
      <c r="F86" s="14" t="s">
        <v>703</v>
      </c>
      <c r="G86" s="14" t="s">
        <v>704</v>
      </c>
      <c r="H86" s="14" t="s">
        <v>705</v>
      </c>
      <c r="I86" s="14" t="s">
        <v>706</v>
      </c>
      <c r="J86" s="14" t="s">
        <v>707</v>
      </c>
      <c r="K86" s="14" t="s">
        <v>708</v>
      </c>
      <c r="L86" s="14" t="n">
        <v>10</v>
      </c>
      <c r="M86" s="14" t="s">
        <v>24</v>
      </c>
      <c r="N86" s="14" t="s">
        <v>447</v>
      </c>
    </row>
    <row r="87" customFormat="false" ht="32.8" hidden="false" customHeight="false" outlineLevel="0" collapsed="false">
      <c r="A87" s="8" t="n">
        <v>86</v>
      </c>
      <c r="B87" s="9" t="s">
        <v>709</v>
      </c>
      <c r="C87" s="8" t="s">
        <v>710</v>
      </c>
      <c r="D87" s="8" t="s">
        <v>711</v>
      </c>
      <c r="E87" s="8" t="s">
        <v>712</v>
      </c>
      <c r="F87" s="10" t="s">
        <v>713</v>
      </c>
      <c r="G87" s="8" t="s">
        <v>714</v>
      </c>
      <c r="H87" s="8" t="s">
        <v>715</v>
      </c>
      <c r="I87" s="8" t="s">
        <v>716</v>
      </c>
      <c r="J87" s="8" t="s">
        <v>717</v>
      </c>
      <c r="K87" s="8" t="s">
        <v>718</v>
      </c>
      <c r="L87" s="8" t="n">
        <v>9</v>
      </c>
      <c r="M87" s="8" t="s">
        <v>24</v>
      </c>
      <c r="N87" s="8" t="s">
        <v>447</v>
      </c>
    </row>
    <row r="88" customFormat="false" ht="32.8" hidden="false" customHeight="false" outlineLevel="0" collapsed="false">
      <c r="A88" s="14" t="n">
        <v>87</v>
      </c>
      <c r="B88" s="15" t="s">
        <v>719</v>
      </c>
      <c r="C88" s="14" t="s">
        <v>720</v>
      </c>
      <c r="D88" s="14" t="s">
        <v>721</v>
      </c>
      <c r="E88" s="14" t="s">
        <v>712</v>
      </c>
      <c r="F88" s="16" t="s">
        <v>722</v>
      </c>
      <c r="G88" s="14" t="s">
        <v>723</v>
      </c>
      <c r="H88" s="14" t="s">
        <v>724</v>
      </c>
      <c r="I88" s="14" t="s">
        <v>725</v>
      </c>
      <c r="J88" s="14" t="s">
        <v>726</v>
      </c>
      <c r="K88" s="14" t="s">
        <v>727</v>
      </c>
      <c r="L88" s="14" t="n">
        <v>9</v>
      </c>
      <c r="M88" s="14" t="s">
        <v>24</v>
      </c>
      <c r="N88" s="14" t="s">
        <v>447</v>
      </c>
    </row>
    <row r="89" customFormat="false" ht="32.8" hidden="false" customHeight="false" outlineLevel="0" collapsed="false">
      <c r="A89" s="8" t="n">
        <v>88</v>
      </c>
      <c r="B89" s="9" t="s">
        <v>728</v>
      </c>
      <c r="C89" s="8" t="s">
        <v>729</v>
      </c>
      <c r="D89" s="8" t="s">
        <v>721</v>
      </c>
      <c r="E89" s="8" t="s">
        <v>712</v>
      </c>
      <c r="F89" s="10" t="s">
        <v>730</v>
      </c>
      <c r="G89" s="8" t="s">
        <v>731</v>
      </c>
      <c r="H89" s="8" t="s">
        <v>732</v>
      </c>
      <c r="I89" s="8" t="s">
        <v>733</v>
      </c>
      <c r="J89" s="8" t="s">
        <v>734</v>
      </c>
      <c r="K89" s="8" t="s">
        <v>735</v>
      </c>
      <c r="L89" s="8" t="n">
        <v>10</v>
      </c>
      <c r="M89" s="8" t="s">
        <v>24</v>
      </c>
      <c r="N89" s="8" t="s">
        <v>447</v>
      </c>
    </row>
    <row r="90" customFormat="false" ht="32.8" hidden="false" customHeight="false" outlineLevel="0" collapsed="false">
      <c r="A90" s="14" t="n">
        <v>89</v>
      </c>
      <c r="B90" s="15" t="s">
        <v>736</v>
      </c>
      <c r="C90" s="14" t="s">
        <v>737</v>
      </c>
      <c r="D90" s="14" t="s">
        <v>738</v>
      </c>
      <c r="E90" s="14" t="s">
        <v>712</v>
      </c>
      <c r="F90" s="16" t="s">
        <v>739</v>
      </c>
      <c r="G90" s="14" t="s">
        <v>740</v>
      </c>
      <c r="H90" s="14" t="s">
        <v>741</v>
      </c>
      <c r="I90" s="14" t="s">
        <v>742</v>
      </c>
      <c r="J90" s="14" t="s">
        <v>743</v>
      </c>
      <c r="K90" s="14" t="s">
        <v>744</v>
      </c>
      <c r="L90" s="14" t="n">
        <v>9</v>
      </c>
      <c r="M90" s="14" t="s">
        <v>24</v>
      </c>
      <c r="N90" s="14" t="s">
        <v>447</v>
      </c>
    </row>
    <row r="91" customFormat="false" ht="32.8" hidden="false" customHeight="false" outlineLevel="0" collapsed="false">
      <c r="A91" s="8" t="n">
        <v>90</v>
      </c>
      <c r="B91" s="9" t="s">
        <v>745</v>
      </c>
      <c r="C91" s="8" t="s">
        <v>746</v>
      </c>
      <c r="D91" s="8" t="s">
        <v>131</v>
      </c>
      <c r="E91" s="8" t="s">
        <v>712</v>
      </c>
      <c r="F91" s="10" t="s">
        <v>747</v>
      </c>
      <c r="G91" s="8" t="s">
        <v>748</v>
      </c>
      <c r="H91" s="8" t="s">
        <v>194</v>
      </c>
      <c r="I91" s="8" t="s">
        <v>749</v>
      </c>
      <c r="J91" s="8" t="s">
        <v>750</v>
      </c>
      <c r="K91" s="8" t="s">
        <v>751</v>
      </c>
      <c r="L91" s="8" t="n">
        <v>9</v>
      </c>
      <c r="M91" s="8" t="s">
        <v>24</v>
      </c>
      <c r="N91" s="8" t="s">
        <v>447</v>
      </c>
    </row>
    <row r="92" customFormat="false" ht="22.35" hidden="false" customHeight="false" outlineLevel="0" collapsed="false">
      <c r="A92" s="14" t="n">
        <v>91</v>
      </c>
      <c r="B92" s="15" t="s">
        <v>752</v>
      </c>
      <c r="C92" s="14" t="s">
        <v>753</v>
      </c>
      <c r="D92" s="14" t="s">
        <v>754</v>
      </c>
      <c r="E92" s="14" t="s">
        <v>712</v>
      </c>
      <c r="F92" s="16" t="s">
        <v>755</v>
      </c>
      <c r="G92" s="14" t="s">
        <v>756</v>
      </c>
      <c r="H92" s="14" t="s">
        <v>757</v>
      </c>
      <c r="I92" s="14" t="s">
        <v>758</v>
      </c>
      <c r="J92" s="14" t="s">
        <v>759</v>
      </c>
      <c r="K92" s="14" t="s">
        <v>760</v>
      </c>
      <c r="L92" s="14" t="n">
        <v>10</v>
      </c>
      <c r="M92" s="14" t="s">
        <v>24</v>
      </c>
      <c r="N92" s="14" t="s">
        <v>447</v>
      </c>
    </row>
    <row r="93" customFormat="false" ht="32.8" hidden="false" customHeight="false" outlineLevel="0" collapsed="false">
      <c r="A93" s="8" t="n">
        <v>92</v>
      </c>
      <c r="B93" s="9" t="s">
        <v>761</v>
      </c>
      <c r="C93" s="8" t="s">
        <v>762</v>
      </c>
      <c r="D93" s="8" t="s">
        <v>763</v>
      </c>
      <c r="E93" s="8" t="s">
        <v>712</v>
      </c>
      <c r="F93" s="10" t="s">
        <v>764</v>
      </c>
      <c r="G93" s="8" t="s">
        <v>765</v>
      </c>
      <c r="H93" s="8" t="s">
        <v>766</v>
      </c>
      <c r="I93" s="8" t="s">
        <v>767</v>
      </c>
      <c r="J93" s="8" t="s">
        <v>768</v>
      </c>
      <c r="K93" s="8" t="s">
        <v>769</v>
      </c>
      <c r="L93" s="8" t="n">
        <v>10</v>
      </c>
      <c r="M93" s="8" t="s">
        <v>24</v>
      </c>
      <c r="N93" s="8" t="s">
        <v>447</v>
      </c>
    </row>
    <row r="94" customFormat="false" ht="32.8" hidden="false" customHeight="false" outlineLevel="0" collapsed="false">
      <c r="A94" s="14" t="n">
        <v>93</v>
      </c>
      <c r="B94" s="15" t="s">
        <v>770</v>
      </c>
      <c r="C94" s="14" t="s">
        <v>771</v>
      </c>
      <c r="D94" s="14" t="s">
        <v>772</v>
      </c>
      <c r="E94" s="14" t="s">
        <v>712</v>
      </c>
      <c r="F94" s="16" t="s">
        <v>773</v>
      </c>
      <c r="G94" s="14" t="s">
        <v>774</v>
      </c>
      <c r="H94" s="14" t="s">
        <v>775</v>
      </c>
      <c r="I94" s="14" t="s">
        <v>776</v>
      </c>
      <c r="J94" s="14" t="s">
        <v>777</v>
      </c>
      <c r="K94" s="14" t="s">
        <v>778</v>
      </c>
      <c r="L94" s="14" t="n">
        <v>9</v>
      </c>
      <c r="M94" s="14" t="s">
        <v>24</v>
      </c>
      <c r="N94" s="14" t="s">
        <v>447</v>
      </c>
    </row>
    <row r="95" customFormat="false" ht="32.8" hidden="false" customHeight="false" outlineLevel="0" collapsed="false">
      <c r="A95" s="8" t="n">
        <v>94</v>
      </c>
      <c r="B95" s="9" t="s">
        <v>779</v>
      </c>
      <c r="C95" s="8" t="s">
        <v>780</v>
      </c>
      <c r="D95" s="8" t="s">
        <v>738</v>
      </c>
      <c r="E95" s="8" t="s">
        <v>712</v>
      </c>
      <c r="F95" s="10" t="s">
        <v>781</v>
      </c>
      <c r="G95" s="8" t="s">
        <v>782</v>
      </c>
      <c r="H95" s="8" t="s">
        <v>783</v>
      </c>
      <c r="I95" s="8" t="s">
        <v>784</v>
      </c>
      <c r="J95" s="8" t="s">
        <v>785</v>
      </c>
      <c r="K95" s="8" t="s">
        <v>786</v>
      </c>
      <c r="L95" s="8" t="n">
        <v>8</v>
      </c>
      <c r="M95" s="8" t="s">
        <v>24</v>
      </c>
      <c r="N95" s="8" t="s">
        <v>447</v>
      </c>
    </row>
    <row r="96" customFormat="false" ht="32.8" hidden="false" customHeight="false" outlineLevel="0" collapsed="false">
      <c r="A96" s="14" t="n">
        <v>95</v>
      </c>
      <c r="B96" s="15" t="s">
        <v>787</v>
      </c>
      <c r="C96" s="14" t="s">
        <v>788</v>
      </c>
      <c r="D96" s="14" t="s">
        <v>789</v>
      </c>
      <c r="E96" s="14" t="s">
        <v>712</v>
      </c>
      <c r="F96" s="16" t="s">
        <v>790</v>
      </c>
      <c r="G96" s="14" t="s">
        <v>791</v>
      </c>
      <c r="H96" s="14" t="s">
        <v>792</v>
      </c>
      <c r="I96" s="14" t="s">
        <v>793</v>
      </c>
      <c r="J96" s="14" t="s">
        <v>794</v>
      </c>
      <c r="K96" s="14" t="s">
        <v>795</v>
      </c>
      <c r="L96" s="14" t="n">
        <v>10</v>
      </c>
      <c r="M96" s="14" t="s">
        <v>24</v>
      </c>
      <c r="N96" s="14" t="s">
        <v>447</v>
      </c>
    </row>
    <row r="97" customFormat="false" ht="32.8" hidden="false" customHeight="false" outlineLevel="0" collapsed="false">
      <c r="A97" s="8" t="n">
        <v>96</v>
      </c>
      <c r="B97" s="9" t="s">
        <v>796</v>
      </c>
      <c r="C97" s="8" t="s">
        <v>797</v>
      </c>
      <c r="D97" s="8" t="s">
        <v>16</v>
      </c>
      <c r="E97" s="8" t="s">
        <v>712</v>
      </c>
      <c r="F97" s="10" t="s">
        <v>798</v>
      </c>
      <c r="G97" s="8" t="s">
        <v>799</v>
      </c>
      <c r="H97" s="8" t="s">
        <v>800</v>
      </c>
      <c r="I97" s="8" t="s">
        <v>801</v>
      </c>
      <c r="J97" s="8" t="s">
        <v>802</v>
      </c>
      <c r="K97" s="8" t="s">
        <v>803</v>
      </c>
      <c r="L97" s="8" t="n">
        <v>9</v>
      </c>
      <c r="M97" s="8" t="s">
        <v>24</v>
      </c>
      <c r="N97" s="8" t="s">
        <v>447</v>
      </c>
    </row>
    <row r="98" customFormat="false" ht="32.8" hidden="false" customHeight="false" outlineLevel="0" collapsed="false">
      <c r="A98" s="14" t="n">
        <v>97</v>
      </c>
      <c r="B98" s="15" t="s">
        <v>804</v>
      </c>
      <c r="C98" s="14" t="s">
        <v>805</v>
      </c>
      <c r="D98" s="14" t="s">
        <v>131</v>
      </c>
      <c r="E98" s="14" t="s">
        <v>712</v>
      </c>
      <c r="F98" s="16" t="s">
        <v>806</v>
      </c>
      <c r="G98" s="14" t="s">
        <v>807</v>
      </c>
      <c r="H98" s="14" t="s">
        <v>808</v>
      </c>
      <c r="I98" s="14" t="s">
        <v>809</v>
      </c>
      <c r="J98" s="14" t="s">
        <v>810</v>
      </c>
      <c r="K98" s="14" t="s">
        <v>811</v>
      </c>
      <c r="L98" s="14" t="n">
        <v>10</v>
      </c>
      <c r="M98" s="14" t="s">
        <v>24</v>
      </c>
      <c r="N98" s="14" t="s">
        <v>447</v>
      </c>
    </row>
    <row r="99" customFormat="false" ht="32.8" hidden="false" customHeight="false" outlineLevel="0" collapsed="false">
      <c r="A99" s="8" t="n">
        <v>98</v>
      </c>
      <c r="B99" s="9" t="s">
        <v>812</v>
      </c>
      <c r="C99" s="8" t="s">
        <v>813</v>
      </c>
      <c r="D99" s="8" t="s">
        <v>16</v>
      </c>
      <c r="E99" s="8" t="s">
        <v>712</v>
      </c>
      <c r="F99" s="10" t="s">
        <v>814</v>
      </c>
      <c r="G99" s="8" t="s">
        <v>815</v>
      </c>
      <c r="H99" s="8" t="s">
        <v>816</v>
      </c>
      <c r="I99" s="8" t="s">
        <v>817</v>
      </c>
      <c r="J99" s="8" t="s">
        <v>818</v>
      </c>
      <c r="K99" s="8" t="s">
        <v>819</v>
      </c>
      <c r="L99" s="8" t="n">
        <v>9</v>
      </c>
      <c r="M99" s="8" t="s">
        <v>24</v>
      </c>
      <c r="N99" s="8" t="s">
        <v>447</v>
      </c>
    </row>
    <row r="100" customFormat="false" ht="32.8" hidden="false" customHeight="false" outlineLevel="0" collapsed="false">
      <c r="A100" s="14" t="n">
        <v>99</v>
      </c>
      <c r="B100" s="15" t="s">
        <v>820</v>
      </c>
      <c r="C100" s="14" t="s">
        <v>821</v>
      </c>
      <c r="D100" s="14" t="s">
        <v>16</v>
      </c>
      <c r="E100" s="14" t="s">
        <v>712</v>
      </c>
      <c r="F100" s="16" t="s">
        <v>822</v>
      </c>
      <c r="G100" s="14" t="s">
        <v>823</v>
      </c>
      <c r="H100" s="14" t="s">
        <v>824</v>
      </c>
      <c r="I100" s="14" t="s">
        <v>825</v>
      </c>
      <c r="J100" s="14" t="s">
        <v>826</v>
      </c>
      <c r="K100" s="14" t="s">
        <v>827</v>
      </c>
      <c r="L100" s="14" t="n">
        <v>8</v>
      </c>
      <c r="M100" s="14" t="s">
        <v>24</v>
      </c>
      <c r="N100" s="14" t="s">
        <v>447</v>
      </c>
    </row>
    <row r="101" customFormat="false" ht="32.8" hidden="false" customHeight="false" outlineLevel="0" collapsed="false">
      <c r="A101" s="8" t="n">
        <v>100</v>
      </c>
      <c r="B101" s="9" t="s">
        <v>828</v>
      </c>
      <c r="C101" s="8" t="s">
        <v>829</v>
      </c>
      <c r="D101" s="8" t="s">
        <v>830</v>
      </c>
      <c r="E101" s="8" t="s">
        <v>712</v>
      </c>
      <c r="F101" s="10" t="s">
        <v>831</v>
      </c>
      <c r="G101" s="8" t="s">
        <v>832</v>
      </c>
      <c r="H101" s="8" t="s">
        <v>833</v>
      </c>
      <c r="I101" s="8" t="s">
        <v>834</v>
      </c>
      <c r="J101" s="8" t="s">
        <v>835</v>
      </c>
      <c r="K101" s="8" t="s">
        <v>836</v>
      </c>
      <c r="L101" s="8" t="n">
        <v>8</v>
      </c>
      <c r="M101" s="8" t="s">
        <v>24</v>
      </c>
      <c r="N101" s="8" t="s">
        <v>447</v>
      </c>
    </row>
    <row r="103" customFormat="false" ht="85.05" hidden="false" customHeight="false" outlineLevel="0" collapsed="false">
      <c r="A103" s="17" t="s">
        <v>837</v>
      </c>
      <c r="B103" s="13" t="s">
        <v>838</v>
      </c>
      <c r="C103" s="18" t="s">
        <v>839</v>
      </c>
      <c r="D103" s="19" t="s">
        <v>840</v>
      </c>
      <c r="E103" s="18" t="s">
        <v>841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45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55"/>
    <col collapsed="false" customWidth="true" hidden="false" outlineLevel="0" max="10" min="10" style="0" width="45"/>
    <col collapsed="false" customWidth="true" hidden="false" outlineLevel="0" max="11" min="11" style="0" width="58"/>
  </cols>
  <sheetData>
    <row r="1" customFormat="false" ht="34.5" hidden="false" customHeight="true" outlineLevel="0" collapsed="false">
      <c r="A1" s="20" t="s">
        <v>842</v>
      </c>
      <c r="B1" s="20" t="s">
        <v>843</v>
      </c>
      <c r="C1" s="20" t="s">
        <v>2</v>
      </c>
      <c r="D1" s="20" t="s">
        <v>4</v>
      </c>
      <c r="E1" s="20" t="s">
        <v>5</v>
      </c>
      <c r="F1" s="20" t="s">
        <v>844</v>
      </c>
      <c r="G1" s="20" t="s">
        <v>11</v>
      </c>
      <c r="H1" s="20" t="s">
        <v>12</v>
      </c>
      <c r="I1" s="20" t="s">
        <v>845</v>
      </c>
      <c r="J1" s="20" t="s">
        <v>846</v>
      </c>
      <c r="K1" s="20" t="s">
        <v>847</v>
      </c>
    </row>
    <row r="2" customFormat="false" ht="32.8" hidden="false" customHeight="false" outlineLevel="0" collapsed="false">
      <c r="A2" s="8" t="n">
        <v>1</v>
      </c>
      <c r="B2" s="9" t="s">
        <v>14</v>
      </c>
      <c r="C2" s="8" t="s">
        <v>848</v>
      </c>
      <c r="D2" s="8" t="s">
        <v>17</v>
      </c>
      <c r="E2" s="10" t="s">
        <v>18</v>
      </c>
      <c r="F2" s="8" t="s">
        <v>849</v>
      </c>
      <c r="G2" s="8" t="n">
        <v>10</v>
      </c>
      <c r="H2" s="8" t="s">
        <v>24</v>
      </c>
      <c r="I2" s="8" t="s">
        <v>850</v>
      </c>
      <c r="J2" s="8" t="s">
        <v>851</v>
      </c>
      <c r="K2" s="8" t="s">
        <v>852</v>
      </c>
    </row>
    <row r="3" customFormat="false" ht="32.8" hidden="false" customHeight="false" outlineLevel="0" collapsed="false">
      <c r="A3" s="11" t="n">
        <v>2</v>
      </c>
      <c r="B3" s="12" t="s">
        <v>26</v>
      </c>
      <c r="C3" s="11" t="s">
        <v>853</v>
      </c>
      <c r="D3" s="11" t="s">
        <v>17</v>
      </c>
      <c r="E3" s="13" t="s">
        <v>29</v>
      </c>
      <c r="F3" s="11" t="s">
        <v>854</v>
      </c>
      <c r="G3" s="11" t="n">
        <v>10</v>
      </c>
      <c r="H3" s="11" t="s">
        <v>24</v>
      </c>
      <c r="I3" s="11" t="s">
        <v>855</v>
      </c>
      <c r="J3" s="11" t="s">
        <v>856</v>
      </c>
      <c r="K3" s="11" t="s">
        <v>857</v>
      </c>
    </row>
    <row r="4" customFormat="false" ht="32.8" hidden="false" customHeight="false" outlineLevel="0" collapsed="false">
      <c r="A4" s="8" t="n">
        <v>3</v>
      </c>
      <c r="B4" s="9" t="s">
        <v>35</v>
      </c>
      <c r="C4" s="8" t="s">
        <v>36</v>
      </c>
      <c r="D4" s="8" t="s">
        <v>17</v>
      </c>
      <c r="E4" s="10" t="s">
        <v>37</v>
      </c>
      <c r="F4" s="8" t="s">
        <v>858</v>
      </c>
      <c r="G4" s="8" t="n">
        <v>10</v>
      </c>
      <c r="H4" s="8" t="s">
        <v>24</v>
      </c>
      <c r="I4" s="8" t="s">
        <v>859</v>
      </c>
      <c r="J4" s="8" t="s">
        <v>860</v>
      </c>
      <c r="K4" s="8" t="s">
        <v>861</v>
      </c>
    </row>
    <row r="5" customFormat="false" ht="32.8" hidden="false" customHeight="false" outlineLevel="0" collapsed="false">
      <c r="A5" s="11" t="n">
        <v>4</v>
      </c>
      <c r="B5" s="12" t="s">
        <v>50</v>
      </c>
      <c r="C5" s="11" t="s">
        <v>862</v>
      </c>
      <c r="D5" s="11" t="s">
        <v>17</v>
      </c>
      <c r="E5" s="13" t="s">
        <v>53</v>
      </c>
      <c r="F5" s="11" t="s">
        <v>863</v>
      </c>
      <c r="G5" s="11" t="n">
        <v>9</v>
      </c>
      <c r="H5" s="11" t="s">
        <v>24</v>
      </c>
      <c r="I5" s="11" t="s">
        <v>864</v>
      </c>
      <c r="J5" s="11" t="s">
        <v>865</v>
      </c>
      <c r="K5" s="11" t="s">
        <v>866</v>
      </c>
    </row>
    <row r="6" customFormat="false" ht="32.8" hidden="false" customHeight="false" outlineLevel="0" collapsed="false">
      <c r="A6" s="8" t="n">
        <v>5</v>
      </c>
      <c r="B6" s="9" t="s">
        <v>42</v>
      </c>
      <c r="C6" s="8" t="s">
        <v>867</v>
      </c>
      <c r="D6" s="8" t="s">
        <v>17</v>
      </c>
      <c r="E6" s="10" t="s">
        <v>45</v>
      </c>
      <c r="F6" s="8" t="s">
        <v>868</v>
      </c>
      <c r="G6" s="8" t="n">
        <v>9</v>
      </c>
      <c r="H6" s="8" t="s">
        <v>24</v>
      </c>
      <c r="I6" s="8" t="s">
        <v>869</v>
      </c>
      <c r="J6" s="8" t="s">
        <v>870</v>
      </c>
      <c r="K6" s="8" t="s">
        <v>871</v>
      </c>
    </row>
    <row r="7" customFormat="false" ht="22.35" hidden="false" customHeight="false" outlineLevel="0" collapsed="false">
      <c r="A7" s="11" t="n">
        <v>6</v>
      </c>
      <c r="B7" s="12" t="s">
        <v>59</v>
      </c>
      <c r="C7" s="11" t="s">
        <v>60</v>
      </c>
      <c r="D7" s="11" t="s">
        <v>17</v>
      </c>
      <c r="E7" s="13" t="s">
        <v>62</v>
      </c>
      <c r="F7" s="11" t="s">
        <v>872</v>
      </c>
      <c r="G7" s="11" t="n">
        <v>9</v>
      </c>
      <c r="H7" s="11" t="s">
        <v>24</v>
      </c>
      <c r="I7" s="11" t="s">
        <v>873</v>
      </c>
      <c r="J7" s="11" t="s">
        <v>874</v>
      </c>
      <c r="K7" s="11" t="s">
        <v>875</v>
      </c>
    </row>
    <row r="8" customFormat="false" ht="32.8" hidden="false" customHeight="false" outlineLevel="0" collapsed="false">
      <c r="A8" s="8" t="n">
        <v>7</v>
      </c>
      <c r="B8" s="9" t="s">
        <v>120</v>
      </c>
      <c r="C8" s="8" t="s">
        <v>121</v>
      </c>
      <c r="D8" s="8" t="s">
        <v>17</v>
      </c>
      <c r="E8" s="10" t="s">
        <v>123</v>
      </c>
      <c r="F8" s="8" t="s">
        <v>876</v>
      </c>
      <c r="G8" s="8" t="n">
        <v>9</v>
      </c>
      <c r="H8" s="8" t="s">
        <v>24</v>
      </c>
      <c r="I8" s="8" t="s">
        <v>877</v>
      </c>
      <c r="J8" s="8" t="s">
        <v>878</v>
      </c>
      <c r="K8" s="8" t="s">
        <v>879</v>
      </c>
    </row>
    <row r="9" customFormat="false" ht="32.8" hidden="false" customHeight="false" outlineLevel="0" collapsed="false">
      <c r="A9" s="11" t="n">
        <v>8</v>
      </c>
      <c r="B9" s="12" t="s">
        <v>155</v>
      </c>
      <c r="C9" s="11" t="s">
        <v>156</v>
      </c>
      <c r="D9" s="11" t="s">
        <v>17</v>
      </c>
      <c r="E9" s="13" t="s">
        <v>158</v>
      </c>
      <c r="F9" s="11" t="s">
        <v>880</v>
      </c>
      <c r="G9" s="11" t="n">
        <v>10</v>
      </c>
      <c r="H9" s="11" t="s">
        <v>24</v>
      </c>
      <c r="I9" s="11" t="s">
        <v>881</v>
      </c>
      <c r="J9" s="11" t="s">
        <v>882</v>
      </c>
      <c r="K9" s="11" t="s">
        <v>883</v>
      </c>
    </row>
    <row r="10" customFormat="false" ht="32.8" hidden="false" customHeight="false" outlineLevel="0" collapsed="false">
      <c r="A10" s="8" t="n">
        <v>9</v>
      </c>
      <c r="B10" s="9" t="s">
        <v>138</v>
      </c>
      <c r="C10" s="8" t="s">
        <v>139</v>
      </c>
      <c r="D10" s="8" t="s">
        <v>17</v>
      </c>
      <c r="E10" s="10" t="s">
        <v>141</v>
      </c>
      <c r="F10" s="8" t="s">
        <v>884</v>
      </c>
      <c r="G10" s="8" t="n">
        <v>9</v>
      </c>
      <c r="H10" s="8" t="s">
        <v>24</v>
      </c>
      <c r="I10" s="8" t="s">
        <v>885</v>
      </c>
      <c r="J10" s="8" t="s">
        <v>886</v>
      </c>
      <c r="K10" s="8" t="s">
        <v>887</v>
      </c>
    </row>
    <row r="11" customFormat="false" ht="32.8" hidden="false" customHeight="false" outlineLevel="0" collapsed="false">
      <c r="A11" s="11" t="n">
        <v>10</v>
      </c>
      <c r="B11" s="12" t="s">
        <v>888</v>
      </c>
      <c r="C11" s="11" t="s">
        <v>889</v>
      </c>
      <c r="D11" s="11" t="s">
        <v>17</v>
      </c>
      <c r="E11" s="13" t="s">
        <v>183</v>
      </c>
      <c r="F11" s="11" t="s">
        <v>890</v>
      </c>
      <c r="G11" s="11" t="n">
        <v>10</v>
      </c>
      <c r="H11" s="11" t="s">
        <v>24</v>
      </c>
      <c r="I11" s="11" t="s">
        <v>891</v>
      </c>
      <c r="J11" s="11" t="s">
        <v>892</v>
      </c>
      <c r="K11" s="11" t="s">
        <v>893</v>
      </c>
    </row>
    <row r="12" customFormat="false" ht="32.8" hidden="false" customHeight="false" outlineLevel="0" collapsed="false">
      <c r="A12" s="8" t="n">
        <v>11</v>
      </c>
      <c r="B12" s="9" t="s">
        <v>448</v>
      </c>
      <c r="C12" s="8" t="s">
        <v>449</v>
      </c>
      <c r="D12" s="8" t="s">
        <v>431</v>
      </c>
      <c r="E12" s="10" t="s">
        <v>450</v>
      </c>
      <c r="F12" s="8" t="s">
        <v>894</v>
      </c>
      <c r="G12" s="8" t="n">
        <v>10</v>
      </c>
      <c r="H12" s="8" t="s">
        <v>24</v>
      </c>
      <c r="I12" s="8" t="s">
        <v>895</v>
      </c>
      <c r="J12" s="8" t="s">
        <v>896</v>
      </c>
      <c r="K12" s="8" t="s">
        <v>897</v>
      </c>
    </row>
    <row r="13" customFormat="false" ht="32.8" hidden="false" customHeight="false" outlineLevel="0" collapsed="false">
      <c r="A13" s="11" t="n">
        <v>12</v>
      </c>
      <c r="B13" s="12" t="s">
        <v>473</v>
      </c>
      <c r="C13" s="11" t="s">
        <v>898</v>
      </c>
      <c r="D13" s="11" t="s">
        <v>431</v>
      </c>
      <c r="E13" s="13" t="s">
        <v>475</v>
      </c>
      <c r="F13" s="11" t="s">
        <v>899</v>
      </c>
      <c r="G13" s="11" t="n">
        <v>10</v>
      </c>
      <c r="H13" s="11" t="s">
        <v>24</v>
      </c>
      <c r="I13" s="11" t="s">
        <v>900</v>
      </c>
      <c r="J13" s="11" t="s">
        <v>901</v>
      </c>
      <c r="K13" s="11" t="s">
        <v>902</v>
      </c>
    </row>
    <row r="14" customFormat="false" ht="32.8" hidden="false" customHeight="false" outlineLevel="0" collapsed="false">
      <c r="A14" s="8" t="n">
        <v>13</v>
      </c>
      <c r="B14" s="9" t="s">
        <v>481</v>
      </c>
      <c r="C14" s="8" t="s">
        <v>482</v>
      </c>
      <c r="D14" s="8" t="s">
        <v>431</v>
      </c>
      <c r="E14" s="10" t="s">
        <v>483</v>
      </c>
      <c r="F14" s="8" t="s">
        <v>903</v>
      </c>
      <c r="G14" s="8" t="n">
        <v>10</v>
      </c>
      <c r="H14" s="8" t="s">
        <v>24</v>
      </c>
      <c r="I14" s="8" t="s">
        <v>904</v>
      </c>
      <c r="J14" s="8" t="s">
        <v>905</v>
      </c>
      <c r="K14" s="8" t="s">
        <v>906</v>
      </c>
    </row>
    <row r="15" customFormat="false" ht="32.8" hidden="false" customHeight="false" outlineLevel="0" collapsed="false">
      <c r="A15" s="11" t="n">
        <v>14</v>
      </c>
      <c r="B15" s="12" t="s">
        <v>489</v>
      </c>
      <c r="C15" s="11" t="s">
        <v>490</v>
      </c>
      <c r="D15" s="11" t="s">
        <v>431</v>
      </c>
      <c r="E15" s="13" t="s">
        <v>491</v>
      </c>
      <c r="F15" s="11" t="s">
        <v>907</v>
      </c>
      <c r="G15" s="11" t="n">
        <v>10</v>
      </c>
      <c r="H15" s="11" t="s">
        <v>24</v>
      </c>
      <c r="I15" s="11" t="s">
        <v>908</v>
      </c>
      <c r="J15" s="11" t="s">
        <v>909</v>
      </c>
      <c r="K15" s="11" t="s">
        <v>910</v>
      </c>
    </row>
    <row r="16" customFormat="false" ht="32.8" hidden="false" customHeight="false" outlineLevel="0" collapsed="false">
      <c r="A16" s="8" t="n">
        <v>15</v>
      </c>
      <c r="B16" s="9" t="s">
        <v>497</v>
      </c>
      <c r="C16" s="8" t="s">
        <v>498</v>
      </c>
      <c r="D16" s="8" t="s">
        <v>431</v>
      </c>
      <c r="E16" s="10" t="s">
        <v>499</v>
      </c>
      <c r="F16" s="8" t="s">
        <v>911</v>
      </c>
      <c r="G16" s="8" t="n">
        <v>10</v>
      </c>
      <c r="H16" s="8" t="s">
        <v>24</v>
      </c>
      <c r="I16" s="8" t="s">
        <v>912</v>
      </c>
      <c r="J16" s="8" t="s">
        <v>913</v>
      </c>
      <c r="K16" s="8" t="s">
        <v>914</v>
      </c>
    </row>
    <row r="17" customFormat="false" ht="32.8" hidden="false" customHeight="false" outlineLevel="0" collapsed="false">
      <c r="A17" s="11" t="n">
        <v>16</v>
      </c>
      <c r="B17" s="12" t="s">
        <v>505</v>
      </c>
      <c r="C17" s="11" t="s">
        <v>506</v>
      </c>
      <c r="D17" s="11" t="s">
        <v>431</v>
      </c>
      <c r="E17" s="13" t="s">
        <v>507</v>
      </c>
      <c r="F17" s="11" t="s">
        <v>915</v>
      </c>
      <c r="G17" s="11" t="n">
        <v>10</v>
      </c>
      <c r="H17" s="11" t="s">
        <v>24</v>
      </c>
      <c r="I17" s="11" t="s">
        <v>916</v>
      </c>
      <c r="J17" s="11" t="s">
        <v>917</v>
      </c>
      <c r="K17" s="11" t="s">
        <v>918</v>
      </c>
    </row>
    <row r="18" customFormat="false" ht="32.8" hidden="false" customHeight="false" outlineLevel="0" collapsed="false">
      <c r="A18" s="8" t="n">
        <v>17</v>
      </c>
      <c r="B18" s="9" t="s">
        <v>728</v>
      </c>
      <c r="C18" s="8" t="s">
        <v>729</v>
      </c>
      <c r="D18" s="8" t="s">
        <v>712</v>
      </c>
      <c r="E18" s="10" t="s">
        <v>730</v>
      </c>
      <c r="F18" s="8" t="s">
        <v>919</v>
      </c>
      <c r="G18" s="8" t="n">
        <v>10</v>
      </c>
      <c r="H18" s="8" t="s">
        <v>24</v>
      </c>
      <c r="I18" s="8" t="s">
        <v>920</v>
      </c>
      <c r="J18" s="8" t="s">
        <v>921</v>
      </c>
      <c r="K18" s="8" t="s">
        <v>922</v>
      </c>
    </row>
    <row r="19" customFormat="false" ht="32.8" hidden="false" customHeight="false" outlineLevel="0" collapsed="false">
      <c r="A19" s="11" t="n">
        <v>18</v>
      </c>
      <c r="B19" s="12" t="s">
        <v>752</v>
      </c>
      <c r="C19" s="11" t="s">
        <v>753</v>
      </c>
      <c r="D19" s="11" t="s">
        <v>712</v>
      </c>
      <c r="E19" s="13" t="s">
        <v>755</v>
      </c>
      <c r="F19" s="11" t="s">
        <v>923</v>
      </c>
      <c r="G19" s="11" t="n">
        <v>10</v>
      </c>
      <c r="H19" s="11" t="s">
        <v>24</v>
      </c>
      <c r="I19" s="11" t="s">
        <v>924</v>
      </c>
      <c r="J19" s="11" t="s">
        <v>925</v>
      </c>
      <c r="K19" s="11" t="s">
        <v>926</v>
      </c>
    </row>
    <row r="20" customFormat="false" ht="32.8" hidden="false" customHeight="false" outlineLevel="0" collapsed="false">
      <c r="A20" s="8" t="n">
        <v>19</v>
      </c>
      <c r="B20" s="9" t="s">
        <v>787</v>
      </c>
      <c r="C20" s="8" t="s">
        <v>788</v>
      </c>
      <c r="D20" s="8" t="s">
        <v>712</v>
      </c>
      <c r="E20" s="10" t="s">
        <v>790</v>
      </c>
      <c r="F20" s="8" t="s">
        <v>927</v>
      </c>
      <c r="G20" s="8" t="n">
        <v>10</v>
      </c>
      <c r="H20" s="8" t="s">
        <v>24</v>
      </c>
      <c r="I20" s="8" t="s">
        <v>928</v>
      </c>
      <c r="J20" s="8" t="s">
        <v>929</v>
      </c>
      <c r="K20" s="8" t="s">
        <v>930</v>
      </c>
    </row>
    <row r="21" customFormat="false" ht="32.8" hidden="false" customHeight="false" outlineLevel="0" collapsed="false">
      <c r="A21" s="11" t="n">
        <v>20</v>
      </c>
      <c r="B21" s="12" t="s">
        <v>804</v>
      </c>
      <c r="C21" s="11" t="s">
        <v>805</v>
      </c>
      <c r="D21" s="11" t="s">
        <v>712</v>
      </c>
      <c r="E21" s="13" t="s">
        <v>806</v>
      </c>
      <c r="F21" s="11" t="s">
        <v>931</v>
      </c>
      <c r="G21" s="11" t="n">
        <v>10</v>
      </c>
      <c r="H21" s="11" t="s">
        <v>24</v>
      </c>
      <c r="I21" s="11" t="s">
        <v>932</v>
      </c>
      <c r="J21" s="11" t="s">
        <v>933</v>
      </c>
      <c r="K21" s="11" t="s">
        <v>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</v>
      </c>
      <c r="B1" s="1" t="s">
        <v>5</v>
      </c>
      <c r="C1" s="1" t="s">
        <v>935</v>
      </c>
    </row>
    <row r="2" customFormat="false" ht="21.75" hidden="false" customHeight="true" outlineLevel="0" collapsed="false">
      <c r="A2" s="11" t="s">
        <v>848</v>
      </c>
      <c r="B2" s="11" t="s">
        <v>936</v>
      </c>
      <c r="C2" s="11" t="s">
        <v>937</v>
      </c>
    </row>
    <row r="3" customFormat="false" ht="21.75" hidden="false" customHeight="true" outlineLevel="0" collapsed="false">
      <c r="A3" s="11" t="s">
        <v>938</v>
      </c>
      <c r="B3" s="11" t="s">
        <v>939</v>
      </c>
      <c r="C3" s="11" t="s">
        <v>940</v>
      </c>
    </row>
    <row r="4" customFormat="false" ht="21.75" hidden="false" customHeight="true" outlineLevel="0" collapsed="false">
      <c r="A4" s="11" t="s">
        <v>941</v>
      </c>
      <c r="B4" s="11" t="s">
        <v>283</v>
      </c>
      <c r="C4" s="11" t="s">
        <v>942</v>
      </c>
    </row>
    <row r="5" customFormat="false" ht="21.75" hidden="false" customHeight="true" outlineLevel="0" collapsed="false">
      <c r="A5" s="11" t="s">
        <v>943</v>
      </c>
      <c r="B5" s="11"/>
      <c r="C5" s="11" t="s">
        <v>944</v>
      </c>
    </row>
    <row r="6" customFormat="false" ht="21.75" hidden="false" customHeight="true" outlineLevel="0" collapsed="false">
      <c r="A6" s="11" t="s">
        <v>945</v>
      </c>
      <c r="B6" s="11" t="s">
        <v>946</v>
      </c>
      <c r="C6" s="11" t="s">
        <v>947</v>
      </c>
    </row>
    <row r="7" customFormat="false" ht="21.75" hidden="false" customHeight="true" outlineLevel="0" collapsed="false">
      <c r="A7" s="11" t="s">
        <v>948</v>
      </c>
      <c r="B7" s="11" t="s">
        <v>949</v>
      </c>
      <c r="C7" s="11" t="s">
        <v>950</v>
      </c>
    </row>
    <row r="8" customFormat="false" ht="21.75" hidden="false" customHeight="true" outlineLevel="0" collapsed="false">
      <c r="A8" s="11"/>
      <c r="B8" s="11"/>
      <c r="C8" s="11"/>
    </row>
    <row r="9" customFormat="false" ht="21.75" hidden="false" customHeight="true" outlineLevel="0" collapsed="false">
      <c r="A9" s="12" t="s">
        <v>951</v>
      </c>
      <c r="B9" s="12"/>
      <c r="C9" s="12"/>
    </row>
    <row r="10" customFormat="false" ht="21.75" hidden="false" customHeight="true" outlineLevel="0" collapsed="false">
      <c r="A10" s="11" t="s">
        <v>952</v>
      </c>
      <c r="B10" s="11" t="s">
        <v>953</v>
      </c>
      <c r="C10" s="11" t="s">
        <v>954</v>
      </c>
    </row>
    <row r="11" customFormat="false" ht="21.75" hidden="false" customHeight="true" outlineLevel="0" collapsed="false">
      <c r="A11" s="11" t="s">
        <v>955</v>
      </c>
      <c r="B11" s="11" t="s">
        <v>956</v>
      </c>
      <c r="C11" s="11" t="s">
        <v>957</v>
      </c>
    </row>
    <row r="12" customFormat="false" ht="21.75" hidden="false" customHeight="true" outlineLevel="0" collapsed="false">
      <c r="A12" s="11" t="s">
        <v>958</v>
      </c>
      <c r="B12" s="11" t="s">
        <v>959</v>
      </c>
      <c r="C12" s="11" t="s">
        <v>960</v>
      </c>
    </row>
    <row r="13" customFormat="false" ht="21.75" hidden="false" customHeight="true" outlineLevel="0" collapsed="false">
      <c r="A13" s="11"/>
      <c r="B13" s="11"/>
      <c r="C13" s="11"/>
    </row>
    <row r="14" customFormat="false" ht="21.75" hidden="false" customHeight="true" outlineLevel="0" collapsed="false">
      <c r="A14" s="12" t="s">
        <v>961</v>
      </c>
      <c r="B14" s="12"/>
      <c r="C14" s="12"/>
    </row>
    <row r="15" customFormat="false" ht="21.75" hidden="false" customHeight="true" outlineLevel="0" collapsed="false">
      <c r="A15" s="11" t="s">
        <v>962</v>
      </c>
      <c r="B15" s="11" t="s">
        <v>963</v>
      </c>
      <c r="C15" s="11" t="s">
        <v>964</v>
      </c>
    </row>
    <row r="16" customFormat="false" ht="21.75" hidden="false" customHeight="true" outlineLevel="0" collapsed="false">
      <c r="A16" s="11" t="s">
        <v>965</v>
      </c>
      <c r="B16" s="11" t="s">
        <v>966</v>
      </c>
      <c r="C16" s="11" t="s">
        <v>967</v>
      </c>
    </row>
    <row r="17" customFormat="false" ht="21.75" hidden="false" customHeight="true" outlineLevel="0" collapsed="false">
      <c r="A17" s="11" t="s">
        <v>968</v>
      </c>
      <c r="B17" s="11" t="s">
        <v>969</v>
      </c>
      <c r="C17" s="11" t="s">
        <v>970</v>
      </c>
    </row>
    <row r="18" customFormat="false" ht="21.75" hidden="false" customHeight="true" outlineLevel="0" collapsed="false">
      <c r="A18" s="11" t="s">
        <v>971</v>
      </c>
      <c r="B18" s="11" t="s">
        <v>972</v>
      </c>
      <c r="C18" s="11" t="s">
        <v>973</v>
      </c>
    </row>
    <row r="19" customFormat="false" ht="21.75" hidden="false" customHeight="true" outlineLevel="0" collapsed="false">
      <c r="A19" s="11" t="s">
        <v>974</v>
      </c>
      <c r="B19" s="11" t="s">
        <v>975</v>
      </c>
      <c r="C19" s="11" t="s">
        <v>976</v>
      </c>
    </row>
    <row r="20" customFormat="false" ht="21.75" hidden="false" customHeight="true" outlineLevel="0" collapsed="false">
      <c r="A20" s="11" t="s">
        <v>977</v>
      </c>
      <c r="B20" s="11" t="s">
        <v>978</v>
      </c>
      <c r="C20" s="11" t="s">
        <v>979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21" t="s">
        <v>980</v>
      </c>
    </row>
    <row r="2" customFormat="false" ht="15" hidden="false" customHeight="false" outlineLevel="0" collapsed="false">
      <c r="A2" s="22"/>
      <c r="B2" s="22"/>
    </row>
    <row r="3" customFormat="false" ht="15" hidden="false" customHeight="false" outlineLevel="0" collapsed="false">
      <c r="A3" s="23" t="s">
        <v>981</v>
      </c>
      <c r="B3" s="22" t="n">
        <f aca="false">COUNTA('100 Leads v3 – Direct Emails'!A2:A101)</f>
        <v>100</v>
      </c>
    </row>
    <row r="4" customFormat="false" ht="15" hidden="false" customHeight="false" outlineLevel="0" collapsed="false">
      <c r="A4" s="22" t="s">
        <v>982</v>
      </c>
      <c r="B4" s="22" t="n">
        <f aca="false">COUNTIF('100 Leads v3 – Direct Emails'!E2:E101,"USA")</f>
        <v>50</v>
      </c>
    </row>
    <row r="5" customFormat="false" ht="15" hidden="false" customHeight="false" outlineLevel="0" collapsed="false">
      <c r="A5" s="22" t="s">
        <v>983</v>
      </c>
      <c r="B5" s="22" t="n">
        <f aca="false">COUNTIF('100 Leads v3 – Direct Emails'!E2:E101,"UK")</f>
        <v>20</v>
      </c>
    </row>
    <row r="6" customFormat="false" ht="15" hidden="false" customHeight="false" outlineLevel="0" collapsed="false">
      <c r="A6" s="22" t="s">
        <v>984</v>
      </c>
      <c r="B6" s="22" t="n">
        <f aca="false">COUNTIF('100 Leads v3 – Direct Emails'!E2:E101,"Canada")</f>
        <v>15</v>
      </c>
    </row>
    <row r="7" customFormat="false" ht="15" hidden="false" customHeight="false" outlineLevel="0" collapsed="false">
      <c r="A7" s="22" t="s">
        <v>985</v>
      </c>
      <c r="B7" s="22" t="n">
        <f aca="false">COUNTIF('100 Leads v3 – Direct Emails'!E2:E101,"Australia")</f>
        <v>15</v>
      </c>
    </row>
    <row r="8" customFormat="false" ht="15" hidden="false" customHeight="false" outlineLevel="0" collapsed="false">
      <c r="A8" s="22"/>
      <c r="B8" s="22"/>
    </row>
    <row r="9" customFormat="false" ht="15" hidden="false" customHeight="false" outlineLevel="0" collapsed="false">
      <c r="A9" s="23" t="s">
        <v>986</v>
      </c>
      <c r="B9" s="22" t="n">
        <f aca="false">COUNTIF('100 Leads v3 – Direct Emails'!M2:M101,"Short*")</f>
        <v>85</v>
      </c>
    </row>
    <row r="10" customFormat="false" ht="15" hidden="false" customHeight="false" outlineLevel="0" collapsed="false">
      <c r="A10" s="22" t="s">
        <v>987</v>
      </c>
      <c r="B10" s="22" t="n">
        <f aca="false">COUNTIF('100 Leads v3 – Direct Emails'!M2:M101,"Long*")</f>
        <v>15</v>
      </c>
    </row>
    <row r="11" customFormat="false" ht="15" hidden="false" customHeight="false" outlineLevel="0" collapsed="false">
      <c r="A11" s="22"/>
      <c r="B11" s="22"/>
    </row>
    <row r="12" customFormat="false" ht="15" hidden="false" customHeight="false" outlineLevel="0" collapsed="false">
      <c r="A12" s="23" t="s">
        <v>988</v>
      </c>
      <c r="B12" s="22" t="n">
        <f aca="false">COUNTIF('100 Leads v3 – Direct Emails'!L2:L101,10)</f>
        <v>22</v>
      </c>
    </row>
    <row r="13" customFormat="false" ht="15" hidden="false" customHeight="false" outlineLevel="0" collapsed="false">
      <c r="A13" s="22" t="s">
        <v>989</v>
      </c>
      <c r="B13" s="22" t="n">
        <f aca="false">COUNTIF('100 Leads v3 – Direct Emails'!L2:L101,"&gt;="&amp;9)</f>
        <v>60</v>
      </c>
    </row>
    <row r="14" customFormat="false" ht="15" hidden="false" customHeight="false" outlineLevel="0" collapsed="false">
      <c r="A14" s="22"/>
      <c r="B14" s="22"/>
    </row>
    <row r="15" customFormat="false" ht="15" hidden="false" customHeight="false" outlineLevel="0" collapsed="false">
      <c r="A15" s="23" t="s">
        <v>990</v>
      </c>
      <c r="B15" s="22"/>
    </row>
    <row r="16" customFormat="false" ht="15" hidden="false" customHeight="false" outlineLevel="0" collapsed="false">
      <c r="A16" s="22" t="s">
        <v>991</v>
      </c>
      <c r="B16" s="22" t="s">
        <v>992</v>
      </c>
    </row>
    <row r="17" customFormat="false" ht="15" hidden="false" customHeight="false" outlineLevel="0" collapsed="false">
      <c r="A17" s="22" t="s">
        <v>993</v>
      </c>
      <c r="B17" s="22" t="s">
        <v>994</v>
      </c>
    </row>
    <row r="18" customFormat="false" ht="15" hidden="false" customHeight="false" outlineLevel="0" collapsed="false">
      <c r="A18" s="22" t="s">
        <v>995</v>
      </c>
      <c r="B18" s="22" t="s">
        <v>996</v>
      </c>
    </row>
    <row r="19" customFormat="false" ht="15" hidden="false" customHeight="false" outlineLevel="0" collapsed="false">
      <c r="A19" s="22" t="s">
        <v>997</v>
      </c>
      <c r="B19" s="22" t="s">
        <v>998</v>
      </c>
    </row>
    <row r="20" customFormat="false" ht="15" hidden="false" customHeight="false" outlineLevel="0" collapsed="false">
      <c r="A20" s="22" t="s">
        <v>999</v>
      </c>
      <c r="B20" s="22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2026-04-09T01:44:13Z</dcterms:created>
  <dc:creator>openpyxl</dc:creator>
  <dc:description/>
  <dc:language>en-US</dc:language>
  <cp:lastModifiedBy/>
  <dcterms:modified xsi:type="dcterms:W3CDTF">2026-04-09T01:44:14Z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