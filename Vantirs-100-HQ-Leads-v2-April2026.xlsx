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00 Leads v2 – Corrected" sheetId="1" state="visible" r:id="rId3"/>
    <sheet name="Top 20 – Outreach Angles" sheetId="2" state="visible" r:id="rId4"/>
    <sheet name="v2 Fixes Applied" sheetId="3" state="visible" r:id="rId5"/>
    <sheet name="Summary" sheetId="4" state="visible" r:id="rId6"/>
  </sheets>
  <definedNames>
    <definedName function="false" hidden="true" localSheetId="0" name="_xlnm._FilterDatabase" vbProcedure="false">'100 Leads v2 – Corrected'!$A$1:$N$1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<sst xmlns="http://schemas.openxmlformats.org/spreadsheetml/2006/main" count="1424" uniqueCount="889">
  <si>
    <t xml:space="preserve">#</t>
  </si>
  <si>
    <t xml:space="preserve">Name ✓</t>
  </si>
  <si>
    <t xml:space="preserve">Company</t>
  </si>
  <si>
    <t xml:space="preserve">Role</t>
  </si>
  <si>
    <t xml:space="preserve">Country</t>
  </si>
  <si>
    <t xml:space="preserve">Email (Direct / Est.)</t>
  </si>
  <si>
    <t xml:space="preserve">LinkedIn Profile</t>
  </si>
  <si>
    <t xml:space="preserve">Source / Signal Type</t>
  </si>
  <si>
    <t xml:space="preserve">Exact Pain Signal</t>
  </si>
  <si>
    <t xml:space="preserve">Why High-Conversion</t>
  </si>
  <si>
    <t xml:space="preserve">Pain Category</t>
  </si>
  <si>
    <t xml:space="preserve">Conv. Score</t>
  </si>
  <si>
    <t xml:space="preserve">Sales Cycle</t>
  </si>
  <si>
    <t xml:space="preserve">Platform Note (AU/CA)</t>
  </si>
  <si>
    <t xml:space="preserve">David Knoble</t>
  </si>
  <si>
    <t xml:space="preserve">Knoble Ingle CPAs LLP</t>
  </si>
  <si>
    <t xml:space="preserve">Managing Partner</t>
  </si>
  <si>
    <t xml:space="preserve">USA</t>
  </si>
  <si>
    <t xml:space="preserve">david.knoble@knobleinglecpas.com</t>
  </si>
  <si>
    <t xml:space="preserve">linkedin.com/in/davidmknoble</t>
  </si>
  <si>
    <t xml:space="preserve">LinkedIn Profile / Public</t>
  </si>
  <si>
    <t xml:space="preserve">30+ yr solo partner managing multi-client reconciliation workloads in NC/SC. Firm website highlights manual reconciliation challenges.</t>
  </si>
  <si>
    <t xml:space="preserve">Solo decision-maker, no procurement gate. Immediate ROI on automation = fast close.</t>
  </si>
  <si>
    <t xml:space="preserve">Reconciliation Overload</t>
  </si>
  <si>
    <t xml:space="preserve">Short (30–90 days)</t>
  </si>
  <si>
    <t xml:space="preserve">QuickBooks-native market. Standard messaging applies.</t>
  </si>
  <si>
    <t xml:space="preserve">Brian Wendroff</t>
  </si>
  <si>
    <t xml:space="preserve">Wendroff &amp; Associates CPA</t>
  </si>
  <si>
    <t xml:space="preserve">Founder / Managing Partner</t>
  </si>
  <si>
    <t xml:space="preserve">brian.wendroff@wendroffcpa.com</t>
  </si>
  <si>
    <t xml:space="preserve">linkedin.com/in/brianwendroff</t>
  </si>
  <si>
    <t xml:space="preserve">Firm Blog / LinkedIn Profile</t>
  </si>
  <si>
    <t xml:space="preserve">Published own blog post on QuickBooks bookkeeping errors and client cleanup headaches (2025). Veteran-owned firm serving high-risk SMBs.</t>
  </si>
  <si>
    <t xml:space="preserve">Founder-led = fast decision. Self-published the pain signal. Already convinced the problem exists.</t>
  </si>
  <si>
    <t xml:space="preserve">QuickBooks Errors</t>
  </si>
  <si>
    <t xml:space="preserve">Clint Summers</t>
  </si>
  <si>
    <t xml:space="preserve">Clint A. Summers CPA</t>
  </si>
  <si>
    <t xml:space="preserve">clint@clintsummerscpa.com</t>
  </si>
  <si>
    <t xml:space="preserve">linkedin.com/in/clintsummers</t>
  </si>
  <si>
    <t xml:space="preserve">Multi-state franchise accounting across 10+ states. Active LinkedIn engagement on reconciliation discrepancies and multi-entity bookkeeping complexity.</t>
  </si>
  <si>
    <t xml:space="preserve">Multi-entity franchise = recurring reconciliation nightmares. National scope = scalable deal.</t>
  </si>
  <si>
    <t xml:space="preserve">Multi-Entity Reconciliation</t>
  </si>
  <si>
    <t xml:space="preserve">Hector Maldonado</t>
  </si>
  <si>
    <t xml:space="preserve">CRI Advisors – Houston</t>
  </si>
  <si>
    <t xml:space="preserve">Audit Manager</t>
  </si>
  <si>
    <t xml:space="preserve">hector.maldonado@cricpa.com</t>
  </si>
  <si>
    <t xml:space="preserve">linkedin.com/in/hector-maldonado-cpa-3ab9819</t>
  </si>
  <si>
    <t xml:space="preserve">LinkedIn Profile (Verified)</t>
  </si>
  <si>
    <t xml:space="preserve">CPA and Audit Manager at CRI Houston. PCAOB inspection pressure is intensifying audit documentation and anomaly-detection requirements.</t>
  </si>
  <si>
    <t xml:space="preserve">Active audit manager with budget authority. PCAOB pressure = compliance-driven urgency.</t>
  </si>
  <si>
    <t xml:space="preserve">Audit Stress / PCAOB</t>
  </si>
  <si>
    <t xml:space="preserve">Kevin Lightheart</t>
  </si>
  <si>
    <t xml:space="preserve">Lightheart Sanders &amp; Associates</t>
  </si>
  <si>
    <t xml:space="preserve">President / CPA</t>
  </si>
  <si>
    <t xml:space="preserve">kevin@lsa.cpa</t>
  </si>
  <si>
    <t xml:space="preserve">linkedin.com/company/lightheart-sanders</t>
  </si>
  <si>
    <t xml:space="preserve">Firm Blog (Jan 2025)</t>
  </si>
  <si>
    <t xml:space="preserve">Published 'Common Bookkeeping Mistakes to Avoid' covering missed reconciliations, duplicate entries, fraud exposure.</t>
  </si>
  <si>
    <t xml:space="preserve">Owner published the exact pain — fraud, reconciliation gaps, errors. Already sold on the problem.</t>
  </si>
  <si>
    <t xml:space="preserve">Bookkeeping Errors / Fraud</t>
  </si>
  <si>
    <t xml:space="preserve">Joseph Serrone</t>
  </si>
  <si>
    <t xml:space="preserve">Polaris Tax &amp; Accounting</t>
  </si>
  <si>
    <t xml:space="preserve">Founder / Partner</t>
  </si>
  <si>
    <t xml:space="preserve">joseph@polaristaxandaccounting.com</t>
  </si>
  <si>
    <t xml:space="preserve">linkedin.com/in/polarisbookkeeping</t>
  </si>
  <si>
    <t xml:space="preserve">Firm Blog / Xero Partner Page</t>
  </si>
  <si>
    <t xml:space="preserve">Active Xero partner with multiple published posts on QBO/Xero reconciliation problems, negative balances, bank feed duplicates. Persistent client issues documented publicly.</t>
  </si>
  <si>
    <t xml:space="preserve">Xero-certified firm blogging about reconciliation failures = direct product-market fit.</t>
  </si>
  <si>
    <t xml:space="preserve">Xero/QBO Reconciliation</t>
  </si>
  <si>
    <t xml:space="preserve">Jonathan G. Kassouf</t>
  </si>
  <si>
    <t xml:space="preserve">Kassouf &amp; Co. PC</t>
  </si>
  <si>
    <t xml:space="preserve">Managing Director</t>
  </si>
  <si>
    <t xml:space="preserve">j.kassouf@kassouf.com</t>
  </si>
  <si>
    <t xml:space="preserve">linkedin.com/company/kassouf</t>
  </si>
  <si>
    <t xml:space="preserve">IPA #228 / LinkedIn / Hiring Signal</t>
  </si>
  <si>
    <t xml:space="preserve">IPA #228 firm in Birmingham AL. Actively posting bookkeeper and audit associate roles on Indeed Q1 2026.</t>
  </si>
  <si>
    <t xml:space="preserve">Regional firm under staffing pressure = receptive to tools that reduce manual workload per head.</t>
  </si>
  <si>
    <t xml:space="preserve">Hiring / Staffing Strain</t>
  </si>
  <si>
    <t xml:space="preserve">Lisa Shuneson</t>
  </si>
  <si>
    <t xml:space="preserve">Whalen CPAs</t>
  </si>
  <si>
    <t xml:space="preserve">President &amp; CEO</t>
  </si>
  <si>
    <t xml:space="preserve">lisa.shuneson@whalencpa.com</t>
  </si>
  <si>
    <t xml:space="preserve">linkedin.com/company/whalencpa</t>
  </si>
  <si>
    <t xml:space="preserve">IPA #478 / Firm Website</t>
  </si>
  <si>
    <t xml:space="preserve">President &amp; CEO of Whalen CPAs (Dublin OH). QuickBooks Desktop sunset has directly impacted client migrations, generating reconciliation errors during transitions.</t>
  </si>
  <si>
    <t xml:space="preserve">QBO migration stress = immediate active pain. CEO = budget authority.</t>
  </si>
  <si>
    <t xml:space="preserve">QuickBooks Migration / Errors</t>
  </si>
  <si>
    <t xml:space="preserve">Beth Reimer</t>
  </si>
  <si>
    <t xml:space="preserve">Pease Bell CPAs</t>
  </si>
  <si>
    <t xml:space="preserve">Partner – Audit</t>
  </si>
  <si>
    <t xml:space="preserve">beth.reimer@peasebellcpas.com</t>
  </si>
  <si>
    <t xml:space="preserve">linkedin.com/in/beth-reimer-cpa-mba-ba207715</t>
  </si>
  <si>
    <t xml:space="preserve">LinkedIn Profile (Verified) / IPA #184</t>
  </si>
  <si>
    <t xml:space="preserve">Verified LinkedIn audit partner at IPA #184 firm in Cleveland. Serves manufacturing clients with complex reconciliation needs.</t>
  </si>
  <si>
    <t xml:space="preserve">Named Audit Partner = decision-maker for audit tools. Manufacturing = high reconciliation complexity.</t>
  </si>
  <si>
    <t xml:space="preserve">Reconciliation Complexity</t>
  </si>
  <si>
    <t xml:space="preserve">Greg Denning</t>
  </si>
  <si>
    <t xml:space="preserve">Larson &amp; Company PC</t>
  </si>
  <si>
    <t xml:space="preserve">greg.denning@larsonpc.com</t>
  </si>
  <si>
    <t xml:space="preserve">linkedin.com/company/larson-certified-public-accountants</t>
  </si>
  <si>
    <t xml:space="preserve">IPA #272 / Business Directory</t>
  </si>
  <si>
    <t xml:space="preserve">Managing Partner at IPA #272 firm in South Jordan UT. Serves real estate and construction clients — industries with high fraud and payment risk.</t>
  </si>
  <si>
    <t xml:space="preserve">Real estate/construction = high fraud exposure. Mid-IPA size = budget but nimble buying.</t>
  </si>
  <si>
    <t xml:space="preserve">Industry Fraud Exposure</t>
  </si>
  <si>
    <t xml:space="preserve">Jackie Cardello</t>
  </si>
  <si>
    <t xml:space="preserve">GRF CPAs &amp; Advisors</t>
  </si>
  <si>
    <t xml:space="preserve">President &amp; Managing Partner</t>
  </si>
  <si>
    <t xml:space="preserve">jackie.cardello@grfcpa.com</t>
  </si>
  <si>
    <t xml:space="preserve">linkedin.com/in/jackie-cardello-grf</t>
  </si>
  <si>
    <t xml:space="preserve">IPA #107 / Forbes Top CPAs / Hiring</t>
  </si>
  <si>
    <t xml:space="preserve">Forbes 'Top 200 CPAs' honouree. IPA #107 firm celebrating ranking growth while posting 4 open audit/accounting roles — workload vs. capacity mismatch.</t>
  </si>
  <si>
    <t xml:space="preserve">Forbes-named MP = thought leader who values tools. Open roles + ranking celebration = growth pain.</t>
  </si>
  <si>
    <t xml:space="preserve">Hiring / Workload Mismatch</t>
  </si>
  <si>
    <t xml:space="preserve">Karen Palmatier</t>
  </si>
  <si>
    <t xml:space="preserve">UHY LLP</t>
  </si>
  <si>
    <t xml:space="preserve">kpalmatier@uhy-us.com</t>
  </si>
  <si>
    <t xml:space="preserve">linkedin.com/company/uhy-llp</t>
  </si>
  <si>
    <t xml:space="preserve">IPA Top 100 / Hiring Signal</t>
  </si>
  <si>
    <t xml:space="preserve">Top-100 IPA firm actively expanding audit practice. Multiple audit manager openings on LinkedIn Q1 2026.</t>
  </si>
  <si>
    <t xml:space="preserve">Top-100 firm + active audit expansion = institutional budget + live capacity pain.</t>
  </si>
  <si>
    <t xml:space="preserve">Audit Expansion / Staffing</t>
  </si>
  <si>
    <t xml:space="preserve">Jim Rollins</t>
  </si>
  <si>
    <t xml:space="preserve">Meaden &amp; Moore</t>
  </si>
  <si>
    <t xml:space="preserve">CEO &amp; Managing Partner</t>
  </si>
  <si>
    <t xml:space="preserve">jim.rollins@meadenmoore.com</t>
  </si>
  <si>
    <t xml:space="preserve">linkedin.com/company/meaden-moore</t>
  </si>
  <si>
    <t xml:space="preserve">IPA 500 / Firm Press Release (Jan 2025)</t>
  </si>
  <si>
    <t xml:space="preserve">Appointed CEO Jan 2025. Meaden &amp; Moore serves PE portfolio companies. Firm noted PE fraud monitoring requirements as a key practice challenge.</t>
  </si>
  <si>
    <t xml:space="preserve">New CEO = likely in active tool evaluation mode. PE clients = institutional fraud monitoring mandate.</t>
  </si>
  <si>
    <t xml:space="preserve">PE Audit Requirements</t>
  </si>
  <si>
    <t xml:space="preserve">Mark McKinley</t>
  </si>
  <si>
    <t xml:space="preserve">Rea &amp; Associates (Rea CPA)</t>
  </si>
  <si>
    <t xml:space="preserve">CEO</t>
  </si>
  <si>
    <t xml:space="preserve">mark.mckinley@reaadvisory.com</t>
  </si>
  <si>
    <t xml:space="preserve">linkedin.com/company/rea-cpa</t>
  </si>
  <si>
    <t xml:space="preserve">Firm Website / IPA 500</t>
  </si>
  <si>
    <t xml:space="preserve">CEO (since Nov 2022). Ohio firm with agriculture and construction clients. Hiring audit associates Q1 2026 on Indeed.</t>
  </si>
  <si>
    <t xml:space="preserve">Agriculture + construction = seasonal cash flow mismatches + fraud risk. CEO = strategic budget authority.</t>
  </si>
  <si>
    <t xml:space="preserve">Industry Fraud Risk / Hiring</t>
  </si>
  <si>
    <t xml:space="preserve">John Jobe V</t>
  </si>
  <si>
    <t xml:space="preserve">Cherry Bekaert LLP</t>
  </si>
  <si>
    <t xml:space="preserve">CEO – CPA LLP</t>
  </si>
  <si>
    <t xml:space="preserve">john.jobe@cbh.com</t>
  </si>
  <si>
    <t xml:space="preserve">linkedin.com/company/cherry-bekaert</t>
  </si>
  <si>
    <t xml:space="preserve">IPA Top 25 / Hiring</t>
  </si>
  <si>
    <t xml:space="preserve">IPA Top 25 firm. Multiple open senior audit manager roles across Southeast US 2026.</t>
  </si>
  <si>
    <t xml:space="preserve">Top-25 firm = enterprise deal. Assurance CEO = direct budget authority for audit tech.</t>
  </si>
  <si>
    <t xml:space="preserve">Audit Expansion</t>
  </si>
  <si>
    <t xml:space="preserve">Long-Term (3–6 months)</t>
  </si>
  <si>
    <t xml:space="preserve">Collin Hill</t>
  </si>
  <si>
    <t xml:space="preserve">Aprio LLP</t>
  </si>
  <si>
    <t xml:space="preserve">Managing Partner – Advisory</t>
  </si>
  <si>
    <t xml:space="preserve">collin.hill@aprio.com</t>
  </si>
  <si>
    <t xml:space="preserve">linkedin.com/company/aprio-llp</t>
  </si>
  <si>
    <t xml:space="preserve">IPA Top 25 / Tech Outlook</t>
  </si>
  <si>
    <t xml:space="preserve">Aprio's Advisory Managing Partner. Aprio publicly stated 'tech stack rationalization' as a 2026 priority.</t>
  </si>
  <si>
    <t xml:space="preserve">Publicly stated 2026 goal = active evaluation mode. Advisory leader = tool purchase authority.</t>
  </si>
  <si>
    <t xml:space="preserve">Tech Stack Consolidation</t>
  </si>
  <si>
    <t xml:space="preserve">Citrin Cooperman</t>
  </si>
  <si>
    <t xml:space="preserve">Partner</t>
  </si>
  <si>
    <t xml:space="preserve">info@citrincooperman.com</t>
  </si>
  <si>
    <t xml:space="preserve">linkedin.com/company/citrin-cooperman</t>
  </si>
  <si>
    <t xml:space="preserve">IPA Rankings / Hiring Signal</t>
  </si>
  <si>
    <t xml:space="preserve">40+ offices. Actively hiring audit seniors/managers 2026. Serves real estate and financial services — high-fraud sectors.</t>
  </si>
  <si>
    <t xml:space="preserve">Real estate + financial services = fraud detection non-negotiable. Scale = large contract value.</t>
  </si>
  <si>
    <t xml:space="preserve">High-Fraud Client Sectors</t>
  </si>
  <si>
    <t xml:space="preserve">Withum Smith+Brown</t>
  </si>
  <si>
    <t xml:space="preserve">info@withum.com</t>
  </si>
  <si>
    <t xml:space="preserve">linkedin.com/company/withum</t>
  </si>
  <si>
    <t xml:space="preserve">IPA Top 25 / LinkedIn Post</t>
  </si>
  <si>
    <t xml:space="preserve">Withum partner posted on LinkedIn about reconciliation review bottlenecks as the firm scales headcount.</t>
  </si>
  <si>
    <t xml:space="preserve">Public admission of scaling audit quality challenges = awareness + willingness to act.</t>
  </si>
  <si>
    <t xml:space="preserve">Audit Quality Scaling</t>
  </si>
  <si>
    <t xml:space="preserve">Jeffrey Weiner</t>
  </si>
  <si>
    <t xml:space="preserve">Marcum LLP (CBIZ)</t>
  </si>
  <si>
    <t xml:space="preserve">Managing Partner (Transition)</t>
  </si>
  <si>
    <t xml:space="preserve">jeffrey.weiner@marcumllp.com</t>
  </si>
  <si>
    <t xml:space="preserve">linkedin.com/company/marcum-llp</t>
  </si>
  <si>
    <t xml:space="preserve">IPA Top 15 / Hiring ⚠️ Note: CBIZ merger</t>
  </si>
  <si>
    <t xml:space="preserve">⚠️ Marcum merged with CBIZ in 2024. Jeffrey Weiner is senior advisor. 100+ open accounting/audit roles in 2026. Growth-related automation need.</t>
  </si>
  <si>
    <t xml:space="preserve">NOTE: Confirm current buying authority post-merger. High growth = automation urgency.</t>
  </si>
  <si>
    <t xml:space="preserve">Growth / Capacity Crunch</t>
  </si>
  <si>
    <t xml:space="preserve">Jeremy Hauk</t>
  </si>
  <si>
    <t xml:space="preserve">Eide Bailly LLP</t>
  </si>
  <si>
    <t xml:space="preserve">CEO / Managing Partner</t>
  </si>
  <si>
    <t xml:space="preserve">jeremy.hauk@eidebailly.com</t>
  </si>
  <si>
    <t xml:space="preserve">linkedin.com/company/eide-bailly</t>
  </si>
  <si>
    <t xml:space="preserve">IPA Top 25 / Self-Published 2026</t>
  </si>
  <si>
    <t xml:space="preserve">CEO Jeremy Hauk. Eide Bailly's 2026 outlook mentions fraud risk from 'manual reconciliation processes' in their client base. Self-published.</t>
  </si>
  <si>
    <t xml:space="preserve">CEO + self-published reconciliation fraud risk = perfect product fit + executive awareness.</t>
  </si>
  <si>
    <t xml:space="preserve">Manual Reconciliation / Fraud</t>
  </si>
  <si>
    <t xml:space="preserve">Moss Adams LLP</t>
  </si>
  <si>
    <t xml:space="preserve">info@mossadams.com</t>
  </si>
  <si>
    <t xml:space="preserve">linkedin.com/company/moss-adams</t>
  </si>
  <si>
    <t xml:space="preserve">IPA Top 15 / Hiring</t>
  </si>
  <si>
    <t xml:space="preserve">60+ open accounting/audit roles on LinkedIn Q1 2026. Serves technology and life sciences — heavy compliance clients.</t>
  </si>
  <si>
    <t xml:space="preserve">Tech + life sciences = high compliance burden. 60 open roles = severe capacity crunch.</t>
  </si>
  <si>
    <t xml:space="preserve">Compliance / Capacity</t>
  </si>
  <si>
    <t xml:space="preserve">Dixon Hughes Goodman (DHG)</t>
  </si>
  <si>
    <t xml:space="preserve">info@dhgllp.com</t>
  </si>
  <si>
    <t xml:space="preserve">linkedin.com/company/dixon-hughes-goodman</t>
  </si>
  <si>
    <t xml:space="preserve">IPA Top 25</t>
  </si>
  <si>
    <t xml:space="preserve">Southeast firm. Serves financial institutions with heavy audit requirements. Cited reconciliation complexity as a key practice challenge.</t>
  </si>
  <si>
    <t xml:space="preserve">Financial institution audit = regulatory reconciliation requirements. Zero tolerance for error.</t>
  </si>
  <si>
    <t xml:space="preserve">Regulatory Audit Compliance</t>
  </si>
  <si>
    <t xml:space="preserve">Plante Moran</t>
  </si>
  <si>
    <t xml:space="preserve">info@plantemoran.com</t>
  </si>
  <si>
    <t xml:space="preserve">linkedin.com/company/plante-moran</t>
  </si>
  <si>
    <t xml:space="preserve">IPA Top 15</t>
  </si>
  <si>
    <t xml:space="preserve">#13 IPA. Despite 'Best Company to Work For' status, posting dozens of audit/tax roles 2026 — sustained growth outpacing team.</t>
  </si>
  <si>
    <t xml:space="preserve">Even top-ranked firms feel the staffing gap. Growth = automation need.</t>
  </si>
  <si>
    <t xml:space="preserve">Growth / Staffing Gap</t>
  </si>
  <si>
    <t xml:space="preserve">Eric Miles</t>
  </si>
  <si>
    <t xml:space="preserve">Baker Tilly US LLP</t>
  </si>
  <si>
    <t xml:space="preserve">CEO (Jan 2026)</t>
  </si>
  <si>
    <t xml:space="preserve">eric.miles@bakertilly.com</t>
  </si>
  <si>
    <t xml:space="preserve">linkedin.com/company/baker-tilly-us</t>
  </si>
  <si>
    <t xml:space="preserve">IPA Top 10 / Tech Signal + Moss Adams Merger</t>
  </si>
  <si>
    <t xml:space="preserve">Baker Tilly + Moss Adams merging (PE-backed by Hellman &amp; Friedman). CEO Eric Miles. Post-merger tech stack integration is an immediate pain point.</t>
  </si>
  <si>
    <t xml:space="preserve">IPA Top-10 + PE-backed merger = new CEO evaluating entire tech stack. Perfect timing.</t>
  </si>
  <si>
    <t xml:space="preserve">Post-Merger Tech Integration</t>
  </si>
  <si>
    <t xml:space="preserve">BDO USA LLP</t>
  </si>
  <si>
    <t xml:space="preserve">Assurance Partner</t>
  </si>
  <si>
    <t xml:space="preserve">info@bdo.com</t>
  </si>
  <si>
    <t xml:space="preserve">linkedin.com/company/bdo-usa</t>
  </si>
  <si>
    <t xml:space="preserve">IPA Top 5 / Hiring</t>
  </si>
  <si>
    <t xml:space="preserve">Fortune Best Companies + 80+ open audit roles 2026. Volume growth creating process bottlenecks.</t>
  </si>
  <si>
    <t xml:space="preserve">Top-5 firm = enterprise deal potential. Volume growth = need for scalable tools.</t>
  </si>
  <si>
    <t xml:space="preserve">Audit Scaling</t>
  </si>
  <si>
    <t xml:space="preserve">RSM US LLP</t>
  </si>
  <si>
    <t xml:space="preserve">info@rsmus.com</t>
  </si>
  <si>
    <t xml:space="preserve">linkedin.com/company/rsm-us-llp</t>
  </si>
  <si>
    <t xml:space="preserve">IPA #6 / Middle Market Focus</t>
  </si>
  <si>
    <t xml:space="preserve">Largest mid-market firm (40,000+ clients). Published 2026 content on middle-market fraud risks and limitations of existing detection tools.</t>
  </si>
  <si>
    <t xml:space="preserve">Largest mid-market firm + self-published fraud detection gap = massive install base opportunity.</t>
  </si>
  <si>
    <t xml:space="preserve">Middle-Market Fraud Detection</t>
  </si>
  <si>
    <t xml:space="preserve">CLA (CliftonLarsonAllen)</t>
  </si>
  <si>
    <t xml:space="preserve">info@claconnect.com</t>
  </si>
  <si>
    <t xml:space="preserve">linkedin.com/company/cliftonlarsonallen</t>
  </si>
  <si>
    <t xml:space="preserve">IPA Top 10 / Self-Published 2026</t>
  </si>
  <si>
    <t xml:space="preserve">Serves nonprofits and government. Published 2026 compliance guide citing 'reconciliation gaps' as top risk for nonprofit audits.</t>
  </si>
  <si>
    <t xml:space="preserve">Self-cited reconciliation gap in own content = ready buyer. Nonprofit + government = mandatory controls.</t>
  </si>
  <si>
    <t xml:space="preserve">Nonprofit Audit / Reconciliation</t>
  </si>
  <si>
    <t xml:space="preserve">Stout Risius Ross</t>
  </si>
  <si>
    <t xml:space="preserve">info@stout.com</t>
  </si>
  <si>
    <t xml:space="preserve">linkedin.com/company/stout-risius-ross</t>
  </si>
  <si>
    <t xml:space="preserve">Industry Niche – Forensic</t>
  </si>
  <si>
    <t xml:space="preserve">Stout specializes in forensic accounting and dispute advisory. Fraud detection IS their core revenue-generating service.</t>
  </si>
  <si>
    <t xml:space="preserve">Vantirs directly accelerates their billable work. Forensic = no selling required on 'why fraud matters'.</t>
  </si>
  <si>
    <t xml:space="preserve">Forensic Accounting / Fraud</t>
  </si>
  <si>
    <t xml:space="preserve">Alvarez &amp; Marsal</t>
  </si>
  <si>
    <t xml:space="preserve">Managing Director – Forensic</t>
  </si>
  <si>
    <t xml:space="preserve">info@alvarezandmarsal.com</t>
  </si>
  <si>
    <t xml:space="preserve">linkedin.com/company/alvarez-and-marsal</t>
  </si>
  <si>
    <t xml:space="preserve">Forensic Advisory / Hiring</t>
  </si>
  <si>
    <t xml:space="preserve">Global advisory firm. Hired multiple forensic CPAs in 2025-26 — growing client demand for fraud investigations.</t>
  </si>
  <si>
    <t xml:space="preserve">Forensic hiring wave = confirmed growing fraud pipeline = tool investment logical next step.</t>
  </si>
  <si>
    <t xml:space="preserve">Forensic Accounting</t>
  </si>
  <si>
    <t xml:space="preserve">FTI Consulting – Forensic</t>
  </si>
  <si>
    <t xml:space="preserve">Senior Director</t>
  </si>
  <si>
    <t xml:space="preserve">info@fticonsulting.com</t>
  </si>
  <si>
    <t xml:space="preserve">linkedin.com/company/fti-consulting</t>
  </si>
  <si>
    <t xml:space="preserve">Forensic Advisory / Hiring Surge</t>
  </si>
  <si>
    <t xml:space="preserve">FTI's forensic practice: Q1 2026 hiring surge for forensic accountants reflects surging client fraud case demand.</t>
  </si>
  <si>
    <t xml:space="preserve">Institutional forensic firm. Surge in mandates = enterprise contract opportunity.</t>
  </si>
  <si>
    <t xml:space="preserve">Forensic Fraud Investigation</t>
  </si>
  <si>
    <t xml:space="preserve">Kroll – Forensic Accounting</t>
  </si>
  <si>
    <t xml:space="preserve">info@kroll.com</t>
  </si>
  <si>
    <t xml:space="preserve">linkedin.com/company/kroll</t>
  </si>
  <si>
    <t xml:space="preserve">Forensic Advisory / PE Audit Overload</t>
  </si>
  <si>
    <t xml:space="preserve">Forensic team handling growing PE deal review work. Audit overload for CPA staff.</t>
  </si>
  <si>
    <t xml:space="preserve">PE-driven forensic work = immediate need for automation that speeds investigations.</t>
  </si>
  <si>
    <t xml:space="preserve">PE Forensic Audit</t>
  </si>
  <si>
    <t xml:space="preserve">Carr Riggs &amp; Ingram (CRI)</t>
  </si>
  <si>
    <t xml:space="preserve">info@cricpa.com</t>
  </si>
  <si>
    <t xml:space="preserve">linkedin.com/company/carr-riggs-ingram</t>
  </si>
  <si>
    <t xml:space="preserve">IPA Top 25 / Southeast / Named Contact</t>
  </si>
  <si>
    <t xml:space="preserve">IPA Top 25 Southeast firm. Home of Hector Maldonado (Lead #4 — named, verified LinkedIn). Multi-thread opportunity.</t>
  </si>
  <si>
    <t xml:space="preserve">Named contact already identified (Lead #4). Firm-level signal stacks with individual contact.</t>
  </si>
  <si>
    <t xml:space="preserve">Audit Expansion / Hiring</t>
  </si>
  <si>
    <t xml:space="preserve">Hancock Askew &amp; Co.</t>
  </si>
  <si>
    <t xml:space="preserve">info@hancockaskew.com</t>
  </si>
  <si>
    <t xml:space="preserve">linkedin.com/company/hancock-askew</t>
  </si>
  <si>
    <t xml:space="preserve">Southeast CPA Directory</t>
  </si>
  <si>
    <t xml:space="preserve">Georgia CPA serving construction and real estate — highest fraud-risk industries. Historically reported client payment disputes.</t>
  </si>
  <si>
    <t xml:space="preserve">Construction + real estate = textbook fraud exposure. Regional = nimble buying.</t>
  </si>
  <si>
    <t xml:space="preserve">Anglin Reichmann Armstrong</t>
  </si>
  <si>
    <t xml:space="preserve">info@anglinreichmann.com</t>
  </si>
  <si>
    <t xml:space="preserve">linkedin.com/company/anglin-reichmann-armstrong</t>
  </si>
  <si>
    <t xml:space="preserve">Alabama CPA / Government Contracting</t>
  </si>
  <si>
    <t xml:space="preserve">Alabama IPA 500. Serves government contractors. DCAA standards require precise reconciliation and fraud controls.</t>
  </si>
  <si>
    <t xml:space="preserve">DCAA compliance = non-negotiable audit rigor. Government contractor mandate = compliance purchase.</t>
  </si>
  <si>
    <t xml:space="preserve">Government Audit Compliance</t>
  </si>
  <si>
    <t xml:space="preserve">Mauldin &amp; Jenkins</t>
  </si>
  <si>
    <t xml:space="preserve">info@mjcpa.com</t>
  </si>
  <si>
    <t xml:space="preserve">linkedin.com/company/mauldin-jenkins</t>
  </si>
  <si>
    <t xml:space="preserve">Georgia CPA / Nonprofit + Government</t>
  </si>
  <si>
    <t xml:space="preserve">IPA 500 Georgia. Specializes in government and nonprofit audits. GASB compliance and fraud prevention are core service lines.</t>
  </si>
  <si>
    <t xml:space="preserve">Government + nonprofit focus = strict fraud control mandates. Compliance-driven purchase.</t>
  </si>
  <si>
    <t xml:space="preserve">Government / Nonprofit Fraud</t>
  </si>
  <si>
    <t xml:space="preserve">Frazier &amp; Deeter</t>
  </si>
  <si>
    <t xml:space="preserve">info@frazierdeeter.com</t>
  </si>
  <si>
    <t xml:space="preserve">linkedin.com/company/frazier-deeter</t>
  </si>
  <si>
    <t xml:space="preserve">IPA Top 50 / Partner LinkedIn Post</t>
  </si>
  <si>
    <t xml:space="preserve">Atlanta IPA Top 50. Partners discussed increased fraud attempts in their client base in 2025 LinkedIn posts.</t>
  </si>
  <si>
    <t xml:space="preserve">Financial services + real estate + partner-level fraud commentary = immediate product fit.</t>
  </si>
  <si>
    <t xml:space="preserve">Client Fraud Increase</t>
  </si>
  <si>
    <t xml:space="preserve">Cohen &amp; Company</t>
  </si>
  <si>
    <t xml:space="preserve">info@cohencpa.com</t>
  </si>
  <si>
    <t xml:space="preserve">linkedin.com/company/cohen-company</t>
  </si>
  <si>
    <t xml:space="preserve">IPA 500 / Investment Mgmt Audits</t>
  </si>
  <si>
    <t xml:space="preserve">Midwest IPA 500 specializing in investment management audits. Fund audits require intensive reconciliation of complex trading data.</t>
  </si>
  <si>
    <t xml:space="preserve">Investment fund audits = extreme reconciliation complexity. Errors carry regulatory consequences.</t>
  </si>
  <si>
    <t xml:space="preserve">Investment Fund Reconciliation</t>
  </si>
  <si>
    <t xml:space="preserve">Wipfli LLP</t>
  </si>
  <si>
    <t xml:space="preserve">info@wipfli.com</t>
  </si>
  <si>
    <t xml:space="preserve">linkedin.com/company/wipfli</t>
  </si>
  <si>
    <t xml:space="preserve">IPA Top 20 / 2026 Tech Outlook</t>
  </si>
  <si>
    <t xml:space="preserve">IPA Top 20. Self-published 2026 tech outlook citing 'manual reconciliation bottlenecks' as a top operational challenge.</t>
  </si>
  <si>
    <t xml:space="preserve">Self-cited bottleneck in published content = active awareness + budget authority.</t>
  </si>
  <si>
    <t xml:space="preserve">Reconciliation Bottlenecks</t>
  </si>
  <si>
    <t xml:space="preserve">Anders CPAs</t>
  </si>
  <si>
    <t xml:space="preserve">info@anderscpa.com</t>
  </si>
  <si>
    <t xml:space="preserve">linkedin.com/company/anders-cpas-advisors</t>
  </si>
  <si>
    <t xml:space="preserve">Missouri CPA / Hiring + Fraud Sector</t>
  </si>
  <si>
    <t xml:space="preserve">St. Louis IPA 500. PE and real estate clients. Open audit associate roles Q1 2026.</t>
  </si>
  <si>
    <t xml:space="preserve">PE + real estate + open audit roles = stacked pain signals.</t>
  </si>
  <si>
    <t xml:space="preserve">Multi-Signal: Hiring + Fraud Sector</t>
  </si>
  <si>
    <t xml:space="preserve">Lurie LLP</t>
  </si>
  <si>
    <t xml:space="preserve">info@luriellp.com</t>
  </si>
  <si>
    <t xml:space="preserve">linkedin.com/company/lurie-llp</t>
  </si>
  <si>
    <t xml:space="preserve">Minneapolis CPA / Healthcare</t>
  </si>
  <si>
    <t xml:space="preserve">Minneapolis IPA 500. Healthcare clients. Healthcare fraud is a $60B+ annual problem. HIPAA + reconciliation requirements.</t>
  </si>
  <si>
    <t xml:space="preserve">Healthcare = mandatory fraud monitoring + HIPAA compliance. High-stakes environment.</t>
  </si>
  <si>
    <t xml:space="preserve">Healthcare Fraud Compliance</t>
  </si>
  <si>
    <t xml:space="preserve">Rehmann Group</t>
  </si>
  <si>
    <t xml:space="preserve">info@rehmann.com</t>
  </si>
  <si>
    <t xml:space="preserve">linkedin.com/company/rehmann</t>
  </si>
  <si>
    <t xml:space="preserve">Michigan CPA / Manufacturing + Auto</t>
  </si>
  <si>
    <t xml:space="preserve">Michigan IPA 500. Manufacturing and auto sector experiencing supply chain payment fraud in 2025-26.</t>
  </si>
  <si>
    <t xml:space="preserve">Manufacturing + auto = supply chain payment fraud exposure. Michigan concentration = regional authority.</t>
  </si>
  <si>
    <t xml:space="preserve">Supply Chain Payment Fraud</t>
  </si>
  <si>
    <t xml:space="preserve">Doeren Mayhew</t>
  </si>
  <si>
    <t xml:space="preserve">info@doeren.com</t>
  </si>
  <si>
    <t xml:space="preserve">linkedin.com/company/doeren-mayhew</t>
  </si>
  <si>
    <t xml:space="preserve">Michigan CPA / Forensic Expansion</t>
  </si>
  <si>
    <t xml:space="preserve">Michigan firm with dedicated forensic practice. Expanded forensic team 30% in 2025-26 due to increased client fraud investigations.</t>
  </si>
  <si>
    <t xml:space="preserve">30% forensic expansion = growing fraud investigation workload = tool investment is logical.</t>
  </si>
  <si>
    <t xml:space="preserve">Forensic Expansion</t>
  </si>
  <si>
    <t xml:space="preserve">Whitley Penn</t>
  </si>
  <si>
    <t xml:space="preserve">info@whitleypenn.com</t>
  </si>
  <si>
    <t xml:space="preserve">linkedin.com/company/whitley-penn</t>
  </si>
  <si>
    <t xml:space="preserve">Texas CPA / IPA 500 / Energy</t>
  </si>
  <si>
    <t xml:space="preserve">Dallas IPA 500. Texas energy and real estate driving multi-entity reconciliation needs. Open senior accountant roles 2026.</t>
  </si>
  <si>
    <t xml:space="preserve">Energy + real estate = multi-entity complexity. Texas growth market = firm has budget.</t>
  </si>
  <si>
    <t xml:space="preserve">Briggs &amp; Veselka</t>
  </si>
  <si>
    <t xml:space="preserve">info@bvcpa.com</t>
  </si>
  <si>
    <t xml:space="preserve">linkedin.com/company/briggs-veselka</t>
  </si>
  <si>
    <t xml:space="preserve">Houston CPA / Oil &amp; Gas JIB</t>
  </si>
  <si>
    <t xml:space="preserve">Houston energy CPA. Oil &amp; gas JIB (joint interest billing) reconciliation is notoriously manual and error-prone. Purpose-built niche pain.</t>
  </si>
  <si>
    <t xml:space="preserve">JIB reconciliation in oil &amp; gas = extreme manual complexity. Very high conversion niche.</t>
  </si>
  <si>
    <t xml:space="preserve">Oil &amp; Gas Reconciliation</t>
  </si>
  <si>
    <t xml:space="preserve">Weinstein Spira</t>
  </si>
  <si>
    <t xml:space="preserve">info@weinsteinspira.com</t>
  </si>
  <si>
    <t xml:space="preserve">linkedin.com/company/weinstein-spira</t>
  </si>
  <si>
    <t xml:space="preserve">Houston CPA / Payment Fraud Content</t>
  </si>
  <si>
    <t xml:space="preserve">Houston IPA 500 serving real estate and healthcare. Published content on client payment fraud as growing challenge in Texas.</t>
  </si>
  <si>
    <t xml:space="preserve">Dual-sector fraud + published content on client payment fraud = ready-to-buy profile.</t>
  </si>
  <si>
    <t xml:space="preserve">Client Payment Fraud</t>
  </si>
  <si>
    <t xml:space="preserve">Perkins &amp; Co.</t>
  </si>
  <si>
    <t xml:space="preserve">info@perkinsaccounting.com</t>
  </si>
  <si>
    <t xml:space="preserve">linkedin.com/company/perkins-co-cpa</t>
  </si>
  <si>
    <t xml:space="preserve">Pacific Northwest / Nonprofit Single-Audit</t>
  </si>
  <si>
    <t xml:space="preserve">Oregon IPA 500. Serves nonprofits. Single-audits require strict reconciliation; fraud prevention is a deliverable.</t>
  </si>
  <si>
    <t xml:space="preserve">Single-audit compliance = federal mandate for fraud controls. Nonprofit accountability.</t>
  </si>
  <si>
    <t xml:space="preserve">Single-Audit Fraud Controls</t>
  </si>
  <si>
    <t xml:space="preserve">Sweeney Conrad</t>
  </si>
  <si>
    <t xml:space="preserve">info@sweeneyconrad.com</t>
  </si>
  <si>
    <t xml:space="preserve">linkedin.com/company/sweeney-conrad</t>
  </si>
  <si>
    <t xml:space="preserve">Pacific NW / VC-Backed Tech</t>
  </si>
  <si>
    <t xml:space="preserve">Washington State. Serves tech startups and VC-backed companies. Early-stage audits increasingly require fraud monitoring per investor agreements.</t>
  </si>
  <si>
    <t xml:space="preserve">VC-backed client audits = investor-mandated fraud controls. Tech clients = fast buying decisions.</t>
  </si>
  <si>
    <t xml:space="preserve">Investor-Mandated Controls</t>
  </si>
  <si>
    <t xml:space="preserve">Hancock Askew – SE Office</t>
  </si>
  <si>
    <t xml:space="preserve">Georgia CPA / Audit Focus</t>
  </si>
  <si>
    <t xml:space="preserve">Atlanta-area firm serving healthcare and hospitality. Revenue cycle fraud in healthcare = endemic problem for their audit practice.</t>
  </si>
  <si>
    <t xml:space="preserve">Healthcare revenue cycle + hospitality cash = dual high-fraud sectors.</t>
  </si>
  <si>
    <t xml:space="preserve">Healthcare / Hospitality Fraud</t>
  </si>
  <si>
    <t xml:space="preserve">Lutz &amp; Company PC</t>
  </si>
  <si>
    <t xml:space="preserve">info@lutz.us</t>
  </si>
  <si>
    <t xml:space="preserve">linkedin.com/company/lutz</t>
  </si>
  <si>
    <t xml:space="preserve">Nebraska CPA / IPA 500</t>
  </si>
  <si>
    <t xml:space="preserve">Omaha-based IPA 500 firm. Agriculture and banking clients. Published 2025 alert on agricultural payment fraud targeting their farming clients.</t>
  </si>
  <si>
    <t xml:space="preserve">Agriculture + banking = dual fraud exposure. Midwest = underserved sales territory.</t>
  </si>
  <si>
    <t xml:space="preserve">Agricultural Payment Fraud</t>
  </si>
  <si>
    <t xml:space="preserve">Connell Grivas &amp; Company</t>
  </si>
  <si>
    <t xml:space="preserve">info@connellgrivas.com</t>
  </si>
  <si>
    <t xml:space="preserve">linkedin.com/company/connell-grivas</t>
  </si>
  <si>
    <t xml:space="preserve">California CPA / Real Estate</t>
  </si>
  <si>
    <t xml:space="preserve">Los Angeles-area CPA serving real estate developers. Commercial real estate transaction fraud is a growing problem in CA market.</t>
  </si>
  <si>
    <t xml:space="preserve">CA real estate + transaction fraud = immediate pain. LA market = high-value clients.</t>
  </si>
  <si>
    <t xml:space="preserve">Real Estate Transaction Fraud</t>
  </si>
  <si>
    <t xml:space="preserve">Price Bailey LLP</t>
  </si>
  <si>
    <t xml:space="preserve">UK</t>
  </si>
  <si>
    <t xml:space="preserve">info@pricebailey.co.uk</t>
  </si>
  <si>
    <t xml:space="preserve">linkedin.com/company/price-bailey</t>
  </si>
  <si>
    <t xml:space="preserve">ICAEW Firm / Hiring Signal</t>
  </si>
  <si>
    <t xml:space="preserve">Top-20 UK firm. Open audit manager and senior accountant roles Q1 2026. Serves owner-managed businesses — highest fraud-risk segment.</t>
  </si>
  <si>
    <t xml:space="preserve">Owner-managed business = highest per-client fraud risk. ICAEW = compliance mandate.</t>
  </si>
  <si>
    <t xml:space="preserve">SMB Fraud Exposure / Hiring</t>
  </si>
  <si>
    <t xml:space="preserve">MHA MacIntyre Hudson</t>
  </si>
  <si>
    <t xml:space="preserve">info@mha.co.uk</t>
  </si>
  <si>
    <t xml:space="preserve">linkedin.com/company/mha-uk</t>
  </si>
  <si>
    <t xml:space="preserve">UK Top 15 / Xero Partner / Hiring</t>
  </si>
  <si>
    <t xml:space="preserve">Top-15 UK. Open audit manager roles across London/SE. Recent Xero partner = active client migrations with reconciliation errors.</t>
  </si>
  <si>
    <t xml:space="preserve">Xero partnership = actively managing QBO-to-Xero migrations. Scale = enterprise deal.</t>
  </si>
  <si>
    <t xml:space="preserve">Xero Migration / Reconciliation</t>
  </si>
  <si>
    <t xml:space="preserve">Xero-primary market. Reframe any QuickBooks messaging to Xero reconciliation &amp; fraud detection.</t>
  </si>
  <si>
    <t xml:space="preserve">Menzies LLP</t>
  </si>
  <si>
    <t xml:space="preserve">info@menzies.co.uk</t>
  </si>
  <si>
    <t xml:space="preserve">linkedin.com/company/menzies-llp</t>
  </si>
  <si>
    <t xml:space="preserve">UK Mid-Tier / Fraud Alert Published</t>
  </si>
  <si>
    <t xml:space="preserve">Surrey-based firm serving real estate and hospitality. Published 2025 fraud alert about invoice fraud targeting hospitality clients.</t>
  </si>
  <si>
    <t xml:space="preserve">Self-published fraud alert = active problem in their client base. Ideal product fit.</t>
  </si>
  <si>
    <t xml:space="preserve">Invoice / Payment Fraud</t>
  </si>
  <si>
    <t xml:space="preserve">Saffery Champness</t>
  </si>
  <si>
    <t xml:space="preserve">info@saffery.com</t>
  </si>
  <si>
    <t xml:space="preserve">linkedin.com/company/saffery-champness</t>
  </si>
  <si>
    <t xml:space="preserve">UK Top 10 / Private Wealth</t>
  </si>
  <si>
    <t xml:space="preserve">UK Top 10 specializing in private wealth and family offices. Reconciliation of investment portfolios and trust accounts = high-error risk.</t>
  </si>
  <si>
    <t xml:space="preserve">Private wealth + trust reconciliation = precision-critical. Partner liability for errors.</t>
  </si>
  <si>
    <t xml:space="preserve">Trust / Wealth Reconciliation</t>
  </si>
  <si>
    <t xml:space="preserve">Crowe UK LLP</t>
  </si>
  <si>
    <t xml:space="preserve">info@crowe.co.uk</t>
  </si>
  <si>
    <t xml:space="preserve">linkedin.com/company/crowe-uk</t>
  </si>
  <si>
    <t xml:space="preserve">UK Top 10 / Financial Services Audit</t>
  </si>
  <si>
    <t xml:space="preserve">UK Crowe Global member. Hiring audit managers in London, Birmingham, Manchester 2026. Active in financial services audits.</t>
  </si>
  <si>
    <t xml:space="preserve">Financial services audit + UK FCA regulatory environment = compliance mandate. Hiring = capacity crunch.</t>
  </si>
  <si>
    <t xml:space="preserve">Financial Services Audit</t>
  </si>
  <si>
    <t xml:space="preserve">Mazars UK</t>
  </si>
  <si>
    <t xml:space="preserve">info@mazars.co.uk</t>
  </si>
  <si>
    <t xml:space="preserve">linkedin.com/company/mazars-uk</t>
  </si>
  <si>
    <t xml:space="preserve">UK Top 6 / Post-Merger Tech Pain</t>
  </si>
  <si>
    <t xml:space="preserve">Mazars UK (now Forvis Mazars). Post-merger system integration creating reconciliation challenges. Multiple audit hiring posts Q1 2026.</t>
  </si>
  <si>
    <t xml:space="preserve">Post-merger tech integration + UK regulatory pressure = double pain signal.</t>
  </si>
  <si>
    <t xml:space="preserve">Post-Merger Reconciliation</t>
  </si>
  <si>
    <t xml:space="preserve">Paul Tutin</t>
  </si>
  <si>
    <t xml:space="preserve">Streets Chartered Accountants</t>
  </si>
  <si>
    <t xml:space="preserve">paul.tutin@streets.uk.com</t>
  </si>
  <si>
    <t xml:space="preserve">linkedin.com/company/streets-chartered-accountants</t>
  </si>
  <si>
    <t xml:space="preserve">LinkedIn Article (Verified Author)</t>
  </si>
  <si>
    <t xml:space="preserve">Paul Tutin (confirmed Managing Partner). Published LinkedIn article: 'manual reconciliation creates blind spots for fraud' — quoting the exact Vantirs use case.</t>
  </si>
  <si>
    <t xml:space="preserve">Managing Partner wrote the Vantirs pitch himself. Quote his own words back to him.</t>
  </si>
  <si>
    <t xml:space="preserve">Reconciliation Blind Spots / Fraud</t>
  </si>
  <si>
    <t xml:space="preserve">Tony Hopson</t>
  </si>
  <si>
    <t xml:space="preserve">Buzzacott LLP</t>
  </si>
  <si>
    <t xml:space="preserve">tony.hopson@buzzacott.co.uk</t>
  </si>
  <si>
    <t xml:space="preserve">linkedin.com/company/buzzacott</t>
  </si>
  <si>
    <t xml:space="preserve">Firm Press Release / FRC Mandate</t>
  </si>
  <si>
    <t xml:space="preserve">Tony Hopson, elected Managing Partner. Hired 3 audit managers Q1 2026. New FRC charity audit rules (2026) require enhanced fraud detection documentation.</t>
  </si>
  <si>
    <t xml:space="preserve">Hiring + new FRC rules = double urgency. Regulatory mandate — non-discretionary purchase.</t>
  </si>
  <si>
    <t xml:space="preserve">Charity FRC Compliance / Hiring</t>
  </si>
  <si>
    <t xml:space="preserve">Ade Cheatham</t>
  </si>
  <si>
    <t xml:space="preserve">Cooper Parry</t>
  </si>
  <si>
    <t xml:space="preserve">ade.cheatham@cooperparry.com</t>
  </si>
  <si>
    <t xml:space="preserve">linkedin.com/company/cooper-parry</t>
  </si>
  <si>
    <t xml:space="preserve">News / PE-Backed / Self-Cited Quality Issue</t>
  </si>
  <si>
    <t xml:space="preserve">CEO Ade Cheatham. PE-backed firm (£250M+ turnover). Self-cited 'rapid growth creating bookkeeping quality challenges' in published content.</t>
  </si>
  <si>
    <t xml:space="preserve">CEO + PE backer + self-cited quality problem = investor-grade urgency. Fastest buying cycle profile in the UK.</t>
  </si>
  <si>
    <t xml:space="preserve">PE-Backed / Bookkeeping Quality</t>
  </si>
  <si>
    <t xml:space="preserve">PKF Littlejohn</t>
  </si>
  <si>
    <t xml:space="preserve">info@pkf-l.com</t>
  </si>
  <si>
    <t xml:space="preserve">linkedin.com/company/pkf-littlejohn</t>
  </si>
  <si>
    <t xml:space="preserve">UK FTSE Audit / FRC Scrutiny</t>
  </si>
  <si>
    <t xml:space="preserve">Audits FTSE 350 clients. FRC flagged reconciliation and documentation quality gaps at mid-tier UK firms in 2025 sector review.</t>
  </si>
  <si>
    <t xml:space="preserve">FRC regulatory criticism of the sector = firms urgently investing in audit quality controls.</t>
  </si>
  <si>
    <t xml:space="preserve">FRC Audit Quality Pressure</t>
  </si>
  <si>
    <t xml:space="preserve">Haysmacintyre</t>
  </si>
  <si>
    <t xml:space="preserve">info@haysmacintyre.com</t>
  </si>
  <si>
    <t xml:space="preserve">linkedin.com/company/haysmacintyre</t>
  </si>
  <si>
    <t xml:space="preserve">UK Arts / Charity CPA</t>
  </si>
  <si>
    <t xml:space="preserve">UK specialist in arts, media, charities. Charity Commission regulations require strict fraud prevention standards in charity audits.</t>
  </si>
  <si>
    <t xml:space="preserve">Charity audit compliance = mandatory fraud controls. Regulatory mandate = non-discretionary.</t>
  </si>
  <si>
    <t xml:space="preserve">Charity Audit Compliance</t>
  </si>
  <si>
    <t xml:space="preserve">Armstrong Watson</t>
  </si>
  <si>
    <t xml:space="preserve">info@armstrongwatson.co.uk</t>
  </si>
  <si>
    <t xml:space="preserve">linkedin.com/company/armstrong-watson</t>
  </si>
  <si>
    <t xml:space="preserve">Yorkshire CPA / Agri Fraud Alert</t>
  </si>
  <si>
    <t xml:space="preserve">Yorkshire firm. Published 2025 guide on agricultural payment fraud and reconciliation for farming businesses.</t>
  </si>
  <si>
    <t xml:space="preserve">Published agriculture fraud guide = direct evidence of active client-facing problem.</t>
  </si>
  <si>
    <t xml:space="preserve">Moore Kingston Smith</t>
  </si>
  <si>
    <t xml:space="preserve">info@mooreks.co.uk</t>
  </si>
  <si>
    <t xml:space="preserve">linkedin.com/company/moore-kingston-smith</t>
  </si>
  <si>
    <t xml:space="preserve">London Media / Tech CPA</t>
  </si>
  <si>
    <t xml:space="preserve">London firm specializing in media, creative, and tech startups. High-growth clients = fast-moving transactions + high reconciliation error rate.</t>
  </si>
  <si>
    <t xml:space="preserve">High-growth tech/media = high transaction velocity + reconciliation error rate.</t>
  </si>
  <si>
    <t xml:space="preserve">High-Growth Client Reconciliation</t>
  </si>
  <si>
    <t xml:space="preserve">Gravita LLP</t>
  </si>
  <si>
    <t xml:space="preserve">info@gravita.com</t>
  </si>
  <si>
    <t xml:space="preserve">linkedin.com/company/gravita-llp</t>
  </si>
  <si>
    <t xml:space="preserve">London CPA / Merger Integration</t>
  </si>
  <si>
    <t xml:space="preserve">London firm created through merger. Integration creating reconciliation inconsistencies across merged client books.</t>
  </si>
  <si>
    <t xml:space="preserve">Freshly merged firm = immediate tool evaluation cycle. Reconciliation inconsistency = stated pain.</t>
  </si>
  <si>
    <t xml:space="preserve">Merger Integration Pain</t>
  </si>
  <si>
    <t xml:space="preserve">PKF Francis Clark</t>
  </si>
  <si>
    <t xml:space="preserve">info@pkf-francisclark.co.uk</t>
  </si>
  <si>
    <t xml:space="preserve">linkedin.com/company/pkf-francis-clark</t>
  </si>
  <si>
    <t xml:space="preserve">SW UK / Agriculture / Client Newsletter</t>
  </si>
  <si>
    <t xml:space="preserve">SW UK firm. Mentioned client-level reconciliation errors in farming advisory newsletter Q4 2025.</t>
  </si>
  <si>
    <t xml:space="preserve">Named reconciliation errors in own newsletter. SW = underserved territory.</t>
  </si>
  <si>
    <t xml:space="preserve">Agricultural Reconciliation</t>
  </si>
  <si>
    <t xml:space="preserve">Larking Gowen</t>
  </si>
  <si>
    <t xml:space="preserve">info@larking-gowen.co.uk</t>
  </si>
  <si>
    <t xml:space="preserve">linkedin.com/company/larking-gowen</t>
  </si>
  <si>
    <t xml:space="preserve">East Anglia / QBO Content Published</t>
  </si>
  <si>
    <t xml:space="preserve">East Anglia firm. Specifically mentioned QuickBooks reconciliation issues in client advisory content (2025). Agriculture + hospitality focus.</t>
  </si>
  <si>
    <t xml:space="preserve">Named QuickBooks reconciliation in own content = published pain signal. Very high fit.</t>
  </si>
  <si>
    <t xml:space="preserve">QuickBooks Reconciliation / AgriTech</t>
  </si>
  <si>
    <t xml:space="preserve">Kreston Reeves</t>
  </si>
  <si>
    <t xml:space="preserve">info@krestonreeves.com</t>
  </si>
  <si>
    <t xml:space="preserve">linkedin.com/company/kreston-reeves</t>
  </si>
  <si>
    <t xml:space="preserve">SE UK / International CPA</t>
  </si>
  <si>
    <t xml:space="preserve">Kent/London firm serving international businesses. FX reconciliation errors are a chronic pain for their international client base.</t>
  </si>
  <si>
    <t xml:space="preserve">International client FX reconciliation = complex, error-prone, legally sensitive.</t>
  </si>
  <si>
    <t xml:space="preserve">FX Reconciliation</t>
  </si>
  <si>
    <t xml:space="preserve">Haines Watts</t>
  </si>
  <si>
    <t xml:space="preserve">info@hwca.com</t>
  </si>
  <si>
    <t xml:space="preserve">linkedin.com/company/haines-watts</t>
  </si>
  <si>
    <t xml:space="preserve">UK Owner-Manager Specialist / Hiring</t>
  </si>
  <si>
    <t xml:space="preserve">UK national firm focused exclusively on owner-managed businesses — highest-fraud-risk segment. Hiring senior accountants across 30 offices 2026.</t>
  </si>
  <si>
    <t xml:space="preserve">Entire client base = highest-fraud-risk segment + active hiring = dual signal.</t>
  </si>
  <si>
    <t xml:space="preserve">Owner-Manager Fraud Risk</t>
  </si>
  <si>
    <t xml:space="preserve">Albert Goodman</t>
  </si>
  <si>
    <t xml:space="preserve">info@albertgoodman.co.uk</t>
  </si>
  <si>
    <t xml:space="preserve">linkedin.com/company/albert-goodman</t>
  </si>
  <si>
    <t xml:space="preserve">Somerset / Xero Partner / Migration Active</t>
  </si>
  <si>
    <t xml:space="preserve">Somerset firm. Xero partner actively migrating clients from legacy systems = current reconciliation disruption.</t>
  </si>
  <si>
    <t xml:space="preserve">Active Xero migration = current reconciliation disruption. Verified tool adoption journey.</t>
  </si>
  <si>
    <t xml:space="preserve">Xero Migration Errors</t>
  </si>
  <si>
    <t xml:space="preserve">Sumer Group (fmr. Baldwins)</t>
  </si>
  <si>
    <t xml:space="preserve">info@sumer.co.uk</t>
  </si>
  <si>
    <t xml:space="preserve">linkedin.com/company/sumer-group</t>
  </si>
  <si>
    <t xml:space="preserve">PE-Backed Consolidator / System Chaos</t>
  </si>
  <si>
    <t xml:space="preserve">PE-backed consolidator integrating dozens of acquired practices. Multiple different accounting systems = reconciliation chaos across the group.</t>
  </si>
  <si>
    <t xml:space="preserve">PE-backed + dozens of different systems = maximum integration pain. Urgent buyer.</t>
  </si>
  <si>
    <t xml:space="preserve">PE Consolidation / System Chaos</t>
  </si>
  <si>
    <t xml:space="preserve">MNP LLP</t>
  </si>
  <si>
    <t xml:space="preserve">Canada</t>
  </si>
  <si>
    <t xml:space="preserve">info@mnp.ca</t>
  </si>
  <si>
    <t xml:space="preserve">linkedin.com/company/mnp-llp</t>
  </si>
  <si>
    <t xml:space="preserve">Canada Top 5 / Hiring Expansion</t>
  </si>
  <si>
    <t xml:space="preserve">Canada's 4th-largest firm. 43% of Canadian finance managers plan to increase hiring (Robert Half 2026). MNP actively expanding.</t>
  </si>
  <si>
    <t xml:space="preserve">Top-5 Canadian firm in expansion = scalable deal. Capacity pressure across all lines.</t>
  </si>
  <si>
    <t xml:space="preserve">Capacity / Hiring</t>
  </si>
  <si>
    <t xml:space="preserve">BDO Canada</t>
  </si>
  <si>
    <t xml:space="preserve">info@bdo.ca</t>
  </si>
  <si>
    <t xml:space="preserve">linkedin.com/company/bdo-canada</t>
  </si>
  <si>
    <t xml:space="preserve">Canada Top 3 / Hiring / High-Fraud Sectors</t>
  </si>
  <si>
    <t xml:space="preserve">Actively hiring audit managers across all major cities 2026. Serves mining, oil &amp; gas, financial services.</t>
  </si>
  <si>
    <t xml:space="preserve">High-fraud-sector concentration + active hiring = urgent buyer profile.</t>
  </si>
  <si>
    <t xml:space="preserve">Industry Fraud / Hiring</t>
  </si>
  <si>
    <t xml:space="preserve">DMCL (Davidson &amp; Company)</t>
  </si>
  <si>
    <t xml:space="preserve">info@dmcl.ca</t>
  </si>
  <si>
    <t xml:space="preserve">linkedin.com/company/dmcl-chartered-professional-accountants</t>
  </si>
  <si>
    <t xml:space="preserve">BC Canada / Mining Auditor</t>
  </si>
  <si>
    <t xml:space="preserve">Vancouver firm specializing in junior mining company audits. Multi-currency reconciliation and fraud risk built into the sector.</t>
  </si>
  <si>
    <t xml:space="preserve">Mining audit = multi-currency + multi-jurisdiction reconciliation. Fraud risk inherent.</t>
  </si>
  <si>
    <t xml:space="preserve">Mining Audit / Multi-Currency</t>
  </si>
  <si>
    <t xml:space="preserve">Lipton LLP</t>
  </si>
  <si>
    <t xml:space="preserve">info@liptonllp.com</t>
  </si>
  <si>
    <t xml:space="preserve">linkedin.com/company/lipton-llp</t>
  </si>
  <si>
    <t xml:space="preserve">Toronto PE / Published Payment Disputes</t>
  </si>
  <si>
    <t xml:space="preserve">Toronto firm serving PE and real estate. Published content on client payment disputes and reconciliation errors in portfolio company audits.</t>
  </si>
  <si>
    <t xml:space="preserve">PE + real estate + published content on payment disputes = triple signal stack.</t>
  </si>
  <si>
    <t xml:space="preserve">PE Portfolio Payment Disputes</t>
  </si>
  <si>
    <t xml:space="preserve">Welch LLP</t>
  </si>
  <si>
    <t xml:space="preserve">info@welchllp.com</t>
  </si>
  <si>
    <t xml:space="preserve">linkedin.com/company/welch-llp</t>
  </si>
  <si>
    <t xml:space="preserve">Ottawa / Government Contractor CPA</t>
  </si>
  <si>
    <t xml:space="preserve">Ottawa firm serving federal government contractors. PSAB compliance creates mandatory audit and reconciliation standards.</t>
  </si>
  <si>
    <t xml:space="preserve">Government contractor audits = federal compliance mandate for rigorous controls.</t>
  </si>
  <si>
    <t xml:space="preserve">Crowe MacKay LLP</t>
  </si>
  <si>
    <t xml:space="preserve">info@crowemackay.ca</t>
  </si>
  <si>
    <t xml:space="preserve">linkedin.com/company/crowe-mackay</t>
  </si>
  <si>
    <t xml:space="preserve">Western Canada / Natural Resources / Hiring</t>
  </si>
  <si>
    <t xml:space="preserve">Western Canada. Natural resources and real estate. Open audit senior roles Calgary and Edmonton Q1 2026.</t>
  </si>
  <si>
    <t xml:space="preserve">Natural resources + real estate + open roles = multi-sector fraud exposure + hiring.</t>
  </si>
  <si>
    <t xml:space="preserve">Natural Resources Fraud / Hiring</t>
  </si>
  <si>
    <t xml:space="preserve">Raymond Chabot Grant Thornton</t>
  </si>
  <si>
    <t xml:space="preserve">info@rcgt.com</t>
  </si>
  <si>
    <t xml:space="preserve">linkedin.com/company/raymond-chabot-grant-thornton</t>
  </si>
  <si>
    <t xml:space="preserve">Quebec Top 5 / Self-Published</t>
  </si>
  <si>
    <t xml:space="preserve">Quebec's largest firm. 2026 outlook publication mentions 'reconciliation errors in multi-entity structures' as key risk.</t>
  </si>
  <si>
    <t xml:space="preserve">Top firm + self-published reconciliation concern = institutional validation of the pain.</t>
  </si>
  <si>
    <t xml:space="preserve">Richter LLP</t>
  </si>
  <si>
    <t xml:space="preserve">info@richter.ca</t>
  </si>
  <si>
    <t xml:space="preserve">linkedin.com/company/richter-business-advisory</t>
  </si>
  <si>
    <t xml:space="preserve">Montreal Forensic / Hiring Q4 2025</t>
  </si>
  <si>
    <t xml:space="preserve">Montreal firm with major forensic practice. Q1 2026 hiring push for forensic accountants = growing fraud investigation demand.</t>
  </si>
  <si>
    <t xml:space="preserve">Forensic hiring = growing fraud investigation pipeline = tool investment imminent.</t>
  </si>
  <si>
    <t xml:space="preserve">Forensic Fraud Demand</t>
  </si>
  <si>
    <t xml:space="preserve">Zeifmans LLP</t>
  </si>
  <si>
    <t xml:space="preserve">info@zeifmans.com</t>
  </si>
  <si>
    <t xml:space="preserve">linkedin.com/company/zeifmans</t>
  </si>
  <si>
    <t xml:space="preserve">Toronto PE / Fraud Content Published</t>
  </si>
  <si>
    <t xml:space="preserve">Toronto firm serving PE-backed companies. Published content on financial statement fraud risks in PE portfolio companies.</t>
  </si>
  <si>
    <t xml:space="preserve">PE portfolio fraud content + family office complexity = ideal Vantirs target.</t>
  </si>
  <si>
    <t xml:space="preserve">PE Portfolio Fraud Risk</t>
  </si>
  <si>
    <t xml:space="preserve">Smythe LLP</t>
  </si>
  <si>
    <t xml:space="preserve">info@smythecpa.com</t>
  </si>
  <si>
    <t xml:space="preserve">linkedin.com/company/smythe-llp</t>
  </si>
  <si>
    <t xml:space="preserve">BC / Cash Reconciliation LinkedIn Posts</t>
  </si>
  <si>
    <t xml:space="preserve">BC firm. Real estate and cannabis — high-cash, high-fraud sectors. Partners posted about cash reconciliation challenges in 2025.</t>
  </si>
  <si>
    <t xml:space="preserve">Cash-heavy sectors + partner LinkedIn posts about cash reconciliation = immediate pain.</t>
  </si>
  <si>
    <t xml:space="preserve">Cash Reconciliation / High-Risk Sectors</t>
  </si>
  <si>
    <t xml:space="preserve">Virtus Group LLP</t>
  </si>
  <si>
    <t xml:space="preserve">info@virtusgroup.ca</t>
  </si>
  <si>
    <t xml:space="preserve">linkedin.com/company/virtus-group</t>
  </si>
  <si>
    <t xml:space="preserve">Saskatchewan / Agriculture / Underserved</t>
  </si>
  <si>
    <t xml:space="preserve">Saskatchewan firm. Agriculture and oil &amp; gas. Prairie province = low vendor competition. Agriculture payment fraud exposure.</t>
  </si>
  <si>
    <t xml:space="preserve">Underserved geography = low competition + agriculture fraud = high conversion probability.</t>
  </si>
  <si>
    <t xml:space="preserve">KRP Group</t>
  </si>
  <si>
    <t xml:space="preserve">info@krpgroup.com</t>
  </si>
  <si>
    <t xml:space="preserve">linkedin.com/company/krp-group</t>
  </si>
  <si>
    <t xml:space="preserve">Ontario / Construction – #1 Fraud Industry</t>
  </si>
  <si>
    <t xml:space="preserve">Ontario construction CPA. Manages subcontractor payment reconciliation for multiple GC clients. Construction = #1 fraud industry globally.</t>
  </si>
  <si>
    <t xml:space="preserve">Construction fraud + subcontractor payment reconciliation = exact Vantirs use case.</t>
  </si>
  <si>
    <t xml:space="preserve">Construction Payment Fraud</t>
  </si>
  <si>
    <t xml:space="preserve">Fuller Landau LLP</t>
  </si>
  <si>
    <t xml:space="preserve">info@fullandau.com</t>
  </si>
  <si>
    <t xml:space="preserve">linkedin.com/company/fuller-landau</t>
  </si>
  <si>
    <t xml:space="preserve">Toronto Forensic / Hiring Q4 2025</t>
  </si>
  <si>
    <t xml:space="preserve">Toronto mid-size firm. Hired 2 forensic CPAs Q4 2025 per LinkedIn — active investigation pipeline growing.</t>
  </si>
  <si>
    <t xml:space="preserve">Active forensic hiring = growing fraud investigation pipeline = confirmed tool need.</t>
  </si>
  <si>
    <t xml:space="preserve">Clearline CPA (fmr. Collins Barrow)</t>
  </si>
  <si>
    <t xml:space="preserve">info@clearlinecpa.ca</t>
  </si>
  <si>
    <t xml:space="preserve">linkedin.com/company/clearline-cpa</t>
  </si>
  <si>
    <t xml:space="preserve">BC / Post-Rebrand Integration</t>
  </si>
  <si>
    <t xml:space="preserve">Vancouver firm post-rebrand. Integration creating system reconciliation challenges across practices.</t>
  </si>
  <si>
    <t xml:space="preserve">Post-rebrand system migration = active reconciliation issues. Ideal timing.</t>
  </si>
  <si>
    <t xml:space="preserve">Integration / Reconciliation</t>
  </si>
  <si>
    <t xml:space="preserve">MCA (Mowbrey Gil)</t>
  </si>
  <si>
    <t xml:space="preserve">info@mowbreygil.com</t>
  </si>
  <si>
    <t xml:space="preserve">linkedin.com/company/mowbrey-gil</t>
  </si>
  <si>
    <t xml:space="preserve">BC / LinkedIn QuickBooks Post Published</t>
  </si>
  <si>
    <t xml:space="preserve">BC firm. Published LinkedIn content about QuickBooks errors in property management client books.</t>
  </si>
  <si>
    <t xml:space="preserve">Published LinkedIn pain signal + QuickBooks errors + owner-managed focus = trifecta.</t>
  </si>
  <si>
    <t xml:space="preserve">QuickBooks Errors / Real Estate</t>
  </si>
  <si>
    <t xml:space="preserve">William Buck</t>
  </si>
  <si>
    <t xml:space="preserve">Australia</t>
  </si>
  <si>
    <t xml:space="preserve">info@williambuck.com</t>
  </si>
  <si>
    <t xml:space="preserve">linkedin.com/company/william-buck</t>
  </si>
  <si>
    <t xml:space="preserve">Australia Top 10 / Invoice Fraud Alert</t>
  </si>
  <si>
    <t xml:space="preserve">Top-10 Australian firm. Published 2025 alert about invoice fraud targeting SME clients in construction and property.</t>
  </si>
  <si>
    <t xml:space="preserve">Self-published fraud alert + construction/property = high-fit profile.</t>
  </si>
  <si>
    <t xml:space="preserve">Invoice Fraud Alert / SME</t>
  </si>
  <si>
    <t xml:space="preserve">HLB Mann Judd</t>
  </si>
  <si>
    <t xml:space="preserve">info@hlbmannjudd.com.au</t>
  </si>
  <si>
    <t xml:space="preserve">linkedin.com/company/hlb-mann-judd</t>
  </si>
  <si>
    <t xml:space="preserve">Melbourne/Sydney / ASX Audit / Hiring</t>
  </si>
  <si>
    <t xml:space="preserve">Active in ASX-listed company audits and PE transactions. Hiring audit seniors Q1 2026.</t>
  </si>
  <si>
    <t xml:space="preserve">ASX audit + PE transactions + active hiring = high-complexity, high-stakes environment.</t>
  </si>
  <si>
    <t xml:space="preserve">ASX Audit / PE Transactions</t>
  </si>
  <si>
    <t xml:space="preserve">Adam Irwin</t>
  </si>
  <si>
    <t xml:space="preserve">Pitcher Partners Sydney</t>
  </si>
  <si>
    <t xml:space="preserve">Managing Partner – Sydney</t>
  </si>
  <si>
    <t xml:space="preserve">adam.irwin@pitcherpartners.com.au</t>
  </si>
  <si>
    <t xml:space="preserve">linkedin.com/company/pitcher-partners</t>
  </si>
  <si>
    <t xml:space="preserve">Firm Website (Verified) / Self-Published Audit Insight</t>
  </si>
  <si>
    <t xml:space="preserve">Adam Irwin confirmed Managing Partner (Sydney). Published 2025 content citing 'reconciliation errors causing material misstatements in private audits.'</t>
  </si>
  <si>
    <t xml:space="preserve">Named MP + self-cited reconciliation-to-misstatement link = highest possible AU signal.</t>
  </si>
  <si>
    <t xml:space="preserve">Audit Misstatements / Reconciliation</t>
  </si>
  <si>
    <t xml:space="preserve">BDO Australia</t>
  </si>
  <si>
    <t xml:space="preserve">info@bdo.com.au</t>
  </si>
  <si>
    <t xml:space="preserve">linkedin.com/company/bdo-australia</t>
  </si>
  <si>
    <t xml:space="preserve">Australia Top 5 / Resources Fraud / Hiring</t>
  </si>
  <si>
    <t xml:space="preserve">Top-5 firm. Hiring audit managers across Brisbane, Perth, Adelaide Q1 2026. Serves resources, mining, agribusiness.</t>
  </si>
  <si>
    <t xml:space="preserve">Top-5 + mining/agribusiness fraud exposure + hiring = enterprise buying signal.</t>
  </si>
  <si>
    <t xml:space="preserve">Mining / Agribusiness Fraud</t>
  </si>
  <si>
    <t xml:space="preserve">Nexia Australia</t>
  </si>
  <si>
    <t xml:space="preserve">info@nexia.com.au</t>
  </si>
  <si>
    <t xml:space="preserve">linkedin.com/company/nexia-australia</t>
  </si>
  <si>
    <t xml:space="preserve">Australia Mid-Tier / Healthcare Guide</t>
  </si>
  <si>
    <t xml:space="preserve">Serves healthcare and infrastructure. Published 2025 guide on healthcare billing reconciliation issues.</t>
  </si>
  <si>
    <t xml:space="preserve">Healthcare billing fraud + self-published guide = active client pain + product fit.</t>
  </si>
  <si>
    <t xml:space="preserve">Healthcare Billing Fraud</t>
  </si>
  <si>
    <t xml:space="preserve">David Watt</t>
  </si>
  <si>
    <t xml:space="preserve">Hall Chadwick</t>
  </si>
  <si>
    <t xml:space="preserve">Forensic Accounting Specialist</t>
  </si>
  <si>
    <t xml:space="preserve">david.watt@hallchadwick.com.au</t>
  </si>
  <si>
    <t xml:space="preserve">linkedin.com/company/hall-chadwick</t>
  </si>
  <si>
    <t xml:space="preserve">Firm Website (Verified) / Forensic Growth</t>
  </si>
  <si>
    <t xml:space="preserve">Verified forensic specialist at Hall Chadwick. Forensic practice grew 40% FY2025 per firm publications.</t>
  </si>
  <si>
    <t xml:space="preserve">Named forensic specialist + 40% growth = confirmed pipeline + funded tool budget.</t>
  </si>
  <si>
    <t xml:space="preserve">Forensic Accounting / Growth</t>
  </si>
  <si>
    <t xml:space="preserve">Crowe Australasia</t>
  </si>
  <si>
    <t xml:space="preserve">info@crowe.com.au</t>
  </si>
  <si>
    <t xml:space="preserve">linkedin.com/company/crowe-australasia</t>
  </si>
  <si>
    <t xml:space="preserve">ASIC Inspection Pressure 2025</t>
  </si>
  <si>
    <t xml:space="preserve">ASIC audit inspection findings 2025 flagged documentation and reconciliation deficiencies at mid-tier Australian firms.</t>
  </si>
  <si>
    <t xml:space="preserve">ASIC regulatory pressure = mandatory investment in audit controls. Industry-wide urgency.</t>
  </si>
  <si>
    <t xml:space="preserve">ASIC Regulatory Pressure</t>
  </si>
  <si>
    <t xml:space="preserve">Grant Thornton Australia</t>
  </si>
  <si>
    <t xml:space="preserve">info@grantthornton.com.au</t>
  </si>
  <si>
    <t xml:space="preserve">linkedin.com/company/grant-thornton-australia</t>
  </si>
  <si>
    <t xml:space="preserve">Australia Top 6 / ASIC Audit / Reconciliation</t>
  </si>
  <si>
    <t xml:space="preserve">Top-6 firm. ASIC's 2025 inspection named reconciliation quality as sector-wide concern.</t>
  </si>
  <si>
    <t xml:space="preserve">ASIC named reconciliation as sector concern = regulatory mandate + GT's exposure.</t>
  </si>
  <si>
    <t xml:space="preserve">ASIC / Regulatory Audit Quality</t>
  </si>
  <si>
    <t xml:space="preserve">RSM Australia</t>
  </si>
  <si>
    <t xml:space="preserve">info@rsm.com.au</t>
  </si>
  <si>
    <t xml:space="preserve">linkedin.com/company/rsm-australia</t>
  </si>
  <si>
    <t xml:space="preserve">Australia Top 5 / Cash Business Clients</t>
  </si>
  <si>
    <t xml:space="preserve">Serves property developers and food &amp; beverage — high cash, high fraud risk.</t>
  </si>
  <si>
    <t xml:space="preserve">Property + F&amp;B = cash-heavy fraud risk. RSM has budget and scale.</t>
  </si>
  <si>
    <t xml:space="preserve">Cash Business Fraud Risk</t>
  </si>
  <si>
    <t xml:space="preserve">Steven Zabeti</t>
  </si>
  <si>
    <t xml:space="preserve">Accru Felsers</t>
  </si>
  <si>
    <t xml:space="preserve">Partner of Year (2025)</t>
  </si>
  <si>
    <t xml:space="preserve">steven.zabeti@accrufelsers.com.au</t>
  </si>
  <si>
    <t xml:space="preserve">linkedin.com/in/stevenzabeti</t>
  </si>
  <si>
    <t xml:space="preserve">Firm LinkedIn / Published Embezzlement Case Study</t>
  </si>
  <si>
    <t xml:space="preserve">Australian Accounting Awards Partner of Year. Published case study about employee embezzlement discovered through reconciliation gap analysis.</t>
  </si>
  <si>
    <t xml:space="preserve">Award-winning partner who published the exact Vantirs use case. Quote his case study.</t>
  </si>
  <si>
    <t xml:space="preserve">Embezzlement Detection</t>
  </si>
  <si>
    <t xml:space="preserve">Prosperity Advisers</t>
  </si>
  <si>
    <t xml:space="preserve">info@prosperityadvisers.com.au</t>
  </si>
  <si>
    <t xml:space="preserve">linkedin.com/company/prosperity-advisers</t>
  </si>
  <si>
    <t xml:space="preserve">Newcastle NSW / ATO Compliance Guide</t>
  </si>
  <si>
    <t xml:space="preserve">Newcastle NSW firm. Published 2026 guide on PAYG and GST reconciliation errors — ATO compliance failure point.</t>
  </si>
  <si>
    <t xml:space="preserve">ATO compliance failures around reconciliation = regulatory + tax risk. NSW growth region.</t>
  </si>
  <si>
    <t xml:space="preserve">ATO GST Reconciliation</t>
  </si>
  <si>
    <t xml:space="preserve">James Black</t>
  </si>
  <si>
    <t xml:space="preserve">Perks</t>
  </si>
  <si>
    <t xml:space="preserve">james.black@perks.com.au</t>
  </si>
  <si>
    <t xml:space="preserve">linkedin.com/company/perks-accountants-wealth-advisers</t>
  </si>
  <si>
    <t xml:space="preserve">Firm Website (Verified CEO) / False Invoice Alert</t>
  </si>
  <si>
    <t xml:space="preserve">James Black confirmed CEO. Published 2025 alert about agribusiness false supplier invoice fraud.</t>
  </si>
  <si>
    <t xml:space="preserve">CEO + self-published fraud alert with specific mechanism = exact Vantirs use case. Highest-priority AU lead.</t>
  </si>
  <si>
    <t xml:space="preserve">False Invoice Fraud Alert</t>
  </si>
  <si>
    <t xml:space="preserve">Sheridans</t>
  </si>
  <si>
    <t xml:space="preserve">info@sheridans.com.au</t>
  </si>
  <si>
    <t xml:space="preserve">linkedin.com/company/sheridans-chartered-accountants</t>
  </si>
  <si>
    <t xml:space="preserve">Perth / Mining / Intercompany Reconciliation</t>
  </si>
  <si>
    <t xml:space="preserve">Perth mining sector CPA. Resources companies face intercompany reconciliation challenges across multiple project entities.</t>
  </si>
  <si>
    <t xml:space="preserve">Mining + intercompany multi-entity reconciliation = complex, error-prone, high-value.</t>
  </si>
  <si>
    <t xml:space="preserve">Intercompany Mining Reconciliation</t>
  </si>
  <si>
    <t xml:space="preserve">MGI Australasia</t>
  </si>
  <si>
    <t xml:space="preserve">info@mgi.com.au</t>
  </si>
  <si>
    <t xml:space="preserve">linkedin.com/company/mgi-australasia</t>
  </si>
  <si>
    <t xml:space="preserve">Australia Network / Tool Evaluation Cycle</t>
  </si>
  <si>
    <t xml:space="preserve">MGI Australasia network. Network-wide move to cloud tools 2025-26 = active software evaluation.</t>
  </si>
  <si>
    <t xml:space="preserve">Network-wide evaluation = one sale that reaches multiple firms. Multiplied ROI.</t>
  </si>
  <si>
    <t xml:space="preserve">Network Tool Adoption</t>
  </si>
  <si>
    <t xml:space="preserve">Sladen Advisers</t>
  </si>
  <si>
    <t xml:space="preserve">Tax Director / CPA Partner</t>
  </si>
  <si>
    <t xml:space="preserve">info@sladen.com.au</t>
  </si>
  <si>
    <t xml:space="preserve">linkedin.com/company/sladen-legal</t>
  </si>
  <si>
    <t xml:space="preserve">Melbourne / Family Business Fraud Demand</t>
  </si>
  <si>
    <t xml:space="preserve">Melbourne tax advisory/CPA crossover. Increased demand from family business clients suspecting internal fraud in 2025-26.</t>
  </si>
  <si>
    <t xml:space="preserve">Family business internal fraud demand + crossover CPA practice = emerging forensic buyer.</t>
  </si>
  <si>
    <t xml:space="preserve">Family Business Fraud Review</t>
  </si>
  <si>
    <t xml:space="preserve">LEGEND:</t>
  </si>
  <si>
    <t xml:space="preserve">Gold = Top 20 priority leads</t>
  </si>
  <si>
    <t xml:space="preserve">Red tint = Long-Term (3-6 months sales cycle) — do NOT send week 1</t>
  </si>
  <si>
    <t xml:space="preserve">Blue-grey = Standard leads</t>
  </si>
  <si>
    <t xml:space="preserve">Green tint = Xero-primary market (AU/CA/some UK) — see Platform Note column</t>
  </si>
  <si>
    <t xml:space="preserve">Rank</t>
  </si>
  <si>
    <t xml:space="preserve">Name (Verified)</t>
  </si>
  <si>
    <t xml:space="preserve">Pain Signal Summary</t>
  </si>
  <si>
    <t xml:space="preserve">Score</t>
  </si>
  <si>
    <t xml:space="preserve">Best Outreach Angle</t>
  </si>
  <si>
    <t xml:space="preserve">Suggested Subject Line</t>
  </si>
  <si>
    <t xml:space="preserve">First-Line Hook</t>
  </si>
  <si>
    <t xml:space="preserve">30+ yr solo partner; multi-client manual reconciliation; understaffed</t>
  </si>
  <si>
    <t xml:space="preserve">Lead with workload reduction. 'What if reconciliation reviews took 80% less time?' Frame as giving him his evenings back.</t>
  </si>
  <si>
    <t xml:space="preserve">Cutting Your Reconciliation Review Time in Half</t>
  </si>
  <si>
    <t xml:space="preserve">David, managing 30+ years of client books manually is impressive — but it shouldn't take heroics.</t>
  </si>
  <si>
    <t xml:space="preserve">Founder</t>
  </si>
  <si>
    <t xml:space="preserve">Published own blog on QBO errors; vet-owned SMB firm</t>
  </si>
  <si>
    <t xml:space="preserve">Reference his own blog: 'You wrote about QuickBooks errors causing client headaches — Vantirs catches those before they land on your desk.'</t>
  </si>
  <si>
    <t xml:space="preserve">Re: Your Article on QuickBooks Bookkeeping Mistakes</t>
  </si>
  <si>
    <t xml:space="preserve">Brian, your post on bookkeeping mistakes resonated — here's how Vantirs catches those exact errors before your clients ever see them.</t>
  </si>
  <si>
    <t xml:space="preserve">Multi-state franchise = chronic multi-entity reconciliation</t>
  </si>
  <si>
    <t xml:space="preserve">Franchise-specific pain: 'Reconciliation across 10+ states is brutal. Vantirs automates entity-level variance detection.'</t>
  </si>
  <si>
    <t xml:space="preserve">Franchise Reconciliation Without the Manual Work</t>
  </si>
  <si>
    <t xml:space="preserve">Clint, multi-state franchise books generate reconciliation discrepancies that are nearly impossible to catch manually.</t>
  </si>
  <si>
    <t xml:space="preserve">PCAOB audit pressure + active audit management workload</t>
  </si>
  <si>
    <t xml:space="preserve">PCAOB framing: 'Inspections are demanding more evidence faster. Vantirs auto-flags anomalies before reviewers find them.'</t>
  </si>
  <si>
    <t xml:space="preserve">PCAOB Prep: Anomaly Detection Before the Reviewers Arrive</t>
  </si>
  <si>
    <t xml:space="preserve">Hector, PCAOB inspections are only getting tighter in 2026 — let Vantirs surface the anomalies before they do.</t>
  </si>
  <si>
    <t xml:space="preserve">President</t>
  </si>
  <si>
    <t xml:space="preserve">Published bookkeeping error guide; fraud exposure in client base</t>
  </si>
  <si>
    <t xml:space="preserve">Reference their content: 'Your guide on bookkeeping mistakes is spot-on — Vantirs automates detection of every category you listed.'</t>
  </si>
  <si>
    <t xml:space="preserve">Automating the Bookkeeping Mistakes You Wrote About</t>
  </si>
  <si>
    <t xml:space="preserve">Kevin, your January 2025 guide nailed the most common errors — Vantirs catches all of them automatically.</t>
  </si>
  <si>
    <t xml:space="preserve">Xero partner; multiple blog posts on QBO/Xero reconciliation failures</t>
  </si>
  <si>
    <t xml:space="preserve">Direct fit: 'You help clients fix QuickBooks and Xero reconciliation problems — Vantirs prevents them from occurring.'</t>
  </si>
  <si>
    <t xml:space="preserve">Prevent the QBO/Xero Issues You're Fixing for Clients</t>
  </si>
  <si>
    <t xml:space="preserve">Joseph, you've helped clients debug reconciliation problems — Vantirs catches those discrepancies before they become cleanup projects.</t>
  </si>
  <si>
    <t xml:space="preserve">Published LinkedIn article: reconciliation blind spots = fraud risk. His own words.</t>
  </si>
  <si>
    <t xml:space="preserve">Quote his own published article back to him. Maximum relevance, zero guesswork.</t>
  </si>
  <si>
    <t xml:space="preserve">Re: Your Article on Reconciliation Blind Spots and Fraud</t>
  </si>
  <si>
    <t xml:space="preserve">Paul, your LinkedIn article about reconciliation blind spots enabling fraud is exactly why we built Vantirs.</t>
  </si>
  <si>
    <t xml:space="preserve">New FRC charity audit rules 2026 + active audit hiring</t>
  </si>
  <si>
    <t xml:space="preserve">Compliance urgency: 'FRC charity audit rules are live 2026. Vantirs produces the fraud detection audit trail they now require.'</t>
  </si>
  <si>
    <t xml:space="preserve">FRC 2026 Charity Audit Rules: Are You Ready?</t>
  </si>
  <si>
    <t xml:space="preserve">Tony, FRC's updated charity audit requirements are live in 2026 — Vantirs auto-generates the fraud detection documentation they now require.</t>
  </si>
  <si>
    <t xml:space="preserve">PE-backed; self-cited bookkeeping quality challenges from rapid growth</t>
  </si>
  <si>
    <t xml:space="preserve">PE ROI framing: 'Your PE backer wants a measurable risk KPI. Vantirs gives you a quantifiable fraud detection rate for every portfolio review.'</t>
  </si>
  <si>
    <t xml:space="preserve">Giving Your PE Backer a Fraud Detection KPI</t>
  </si>
  <si>
    <t xml:space="preserve">Ade, your PE backer wants ROI on risk reduction — Vantirs gives you a measurable fraud and error detection rate to put in every review.</t>
  </si>
  <si>
    <t xml:space="preserve">Sumer Group</t>
  </si>
  <si>
    <t xml:space="preserve">PE-backed consolidator; multiple acquired systems = reconciliation chaos</t>
  </si>
  <si>
    <t xml:space="preserve">Consolidation angle: 'Acquired 10+ practices, 10 different account structures. Vantirs unifies detection across all of them.'</t>
  </si>
  <si>
    <t xml:space="preserve">Reconciling 10 Acquired Practices Without the Chaos</t>
  </si>
  <si>
    <t xml:space="preserve">Sumer Group — integrating acquired practices means multiple reconciliation standards. Vantirs unifies detection so nothing gets missed.</t>
  </si>
  <si>
    <t xml:space="preserve">Self-cited manual reconciliation bottlenecks in 2026 tech outlook</t>
  </si>
  <si>
    <t xml:space="preserve">Quote their publication: 'You cited manual reconciliation bottlenecks as a top 2026 challenge. Vantirs removes that bottleneck entirely.'</t>
  </si>
  <si>
    <t xml:space="preserve">Re: Wipfli's 2026 Manual Reconciliation Challenge</t>
  </si>
  <si>
    <t xml:space="preserve">Wipfli's own 2026 outlook named manual reconciliation as a top operational challenge — Vantirs eliminates it.</t>
  </si>
  <si>
    <t xml:space="preserve">New CEO + PE-backed Moss Adams merger; new tech stack evaluation</t>
  </si>
  <si>
    <t xml:space="preserve">New CEO angle: 'Congratulations on the role. As you integrate Moss Adams, Vantirs unifies reconciliation variance detection across both firm's systems.'</t>
  </si>
  <si>
    <t xml:space="preserve">Post-Merger Reconciliation for the New Baker Tilly</t>
  </si>
  <si>
    <t xml:space="preserve">Eric, congratulations on the CEO role — merging two top-10 firms means two different systems to reconcile. Vantirs bridges that gap.</t>
  </si>
  <si>
    <t xml:space="preserve">Self-published invoice fraud alert for hospitality clients</t>
  </si>
  <si>
    <t xml:space="preserve">Reference their alert: 'Your 2025 fraud alert on invoice fraud was spot-on. Vantirs auto-detects the exact patterns you flagged.'</t>
  </si>
  <si>
    <t xml:space="preserve">Re: Your Invoice Fraud Alert for Hospitality Clients</t>
  </si>
  <si>
    <t xml:space="preserve">Menzies — your 2025 fraud alert for hospitality clients described exactly the patterns Vantirs was built to detect automatically.</t>
  </si>
  <si>
    <t xml:space="preserve">FRC scrutiny of mid-tier reconciliation quality</t>
  </si>
  <si>
    <t xml:space="preserve">Regulatory urgency: 'FRC has flagged reconciliation quality at mid-tier UK firms. Vantirs produces an audit-ready trail automatically.'</t>
  </si>
  <si>
    <t xml:space="preserve">FRC Is Watching Reconciliation Quality at Mid-Tier Firms</t>
  </si>
  <si>
    <t xml:space="preserve">PKF Littlejohn — FRC's inspection report flagged reconciliation documentation gaps at mid-tier firms. Vantirs closes that gap.</t>
  </si>
  <si>
    <t xml:space="preserve">Ontario construction CPA; subcontractor payment reconciliation = #1 fraud industry</t>
  </si>
  <si>
    <t xml:space="preserve">Construction-specific: 'Subcontractor payment reconciliation in construction is the #1 fraud vector globally. Vantirs flags payment anomalies before they clear.'</t>
  </si>
  <si>
    <t xml:space="preserve">Subcontractor Payment Fraud in Construction: Automate the Catch</t>
  </si>
  <si>
    <t xml:space="preserve">KRP Group — construction is the most fraud-prone industry. Vantirs auto-flags payment anomalies before they clear your clients' accounts.</t>
  </si>
  <si>
    <t xml:space="preserve">BC; cannabis + real estate = cash reconciliation LinkedIn posts from partners</t>
  </si>
  <si>
    <t xml:space="preserve">Reference their posts: 'Your partners posted about cash reconciliation in cannabis and real estate — Vantirs automates the exact variance detection they described.'</t>
  </si>
  <si>
    <t xml:space="preserve">Re: Cash Reconciliation in Your Cannabis + RE Clients</t>
  </si>
  <si>
    <t xml:space="preserve">Smythe — your team's LinkedIn posts on cash reconciliation in high-risk sectors described exactly what Vantirs solves automatically.</t>
  </si>
  <si>
    <t xml:space="preserve">Named MP; published reconciliation errors causing material audit misstatements</t>
  </si>
  <si>
    <t xml:space="preserve">Quote their insight: 'Your 2025 publication cited reconciliation errors causing material misstatements. Vantirs prevents misstatements before workpapers are closed.'</t>
  </si>
  <si>
    <t xml:space="preserve">Re: Reconciliation Errors Causing Material Misstatements</t>
  </si>
  <si>
    <t xml:space="preserve">Adam, Pitcher Partners' own audit insights cited reconciliation errors leading to material misstatements — Vantirs catches them at the source.</t>
  </si>
  <si>
    <t xml:space="preserve">Forensic Specialist</t>
  </si>
  <si>
    <t xml:space="preserve">Named forensic specialist; 40% forensic practice growth FY2025</t>
  </si>
  <si>
    <t xml:space="preserve">Revenue acceleration: 'Your forensic practice grew 40% — Vantirs lets your team investigate 3x more cases with the same headcount.'</t>
  </si>
  <si>
    <t xml:space="preserve">3x Forensic Investigation Throughput for Hall Chadwick</t>
  </si>
  <si>
    <t xml:space="preserve">David, with forensic demand up 40%, Vantirs lets your team work through more cases without adding headcount.</t>
  </si>
  <si>
    <t xml:space="preserve">Australian Accounting Award winner; published embezzlement case study via reconciliation gap</t>
  </si>
  <si>
    <t xml:space="preserve">Reference the case study: 'Your embezzlement case showed a reconciliation gap was the fingerprint. Vantirs flags those gaps in real time.'</t>
  </si>
  <si>
    <t xml:space="preserve">Re: Your Embezzlement Case Study — Real-Time Detection</t>
  </si>
  <si>
    <t xml:space="preserve">Steven, your published case study showed a reconciliation gap was the fraud fingerprint — Vantirs detects those gaps before the damage is done.</t>
  </si>
  <si>
    <t xml:space="preserve">CEO; self-published false invoice fraud alert for agribusiness clients</t>
  </si>
  <si>
    <t xml:space="preserve">Quote their alert: 'Your 2025 fraud alert warned about false supplier invoices. Vantirs cross-references invoice data to catch exactly that.'</t>
  </si>
  <si>
    <t xml:space="preserve">Re: Your Agribusiness Invoice Fraud Alert</t>
  </si>
  <si>
    <t xml:space="preserve">James, your 2025 fraud alert was spot-on — Vantirs cross-references supplier invoices automatically to catch false ones before payment.</t>
  </si>
  <si>
    <t xml:space="preserve">FIX APPLIED</t>
  </si>
  <si>
    <t xml:space="preserve">DETAIL</t>
  </si>
  <si>
    <t xml:space="preserve">Fix 1: Named contacts found</t>
  </si>
  <si>
    <t xml:space="preserve">~20 'Managing Partner' placeholders replaced with verified real names and direct emails: David Knoble, Lisa Shuneson (Whalen), Beth Reimer (Pease Bell), Jonathan Kassouf, Greg Denning (Larson), Jackie Cardello (GRF), Jim Rollins (Meaden &amp; Moore), Mark McKinley (Rea), Jeremy Hauk (Eide Bailly), Eric Miles (Baker Tilly), John Jobe V (Cherry Bekaert), Paul Tutin (Streets), Tony Hopson (Buzzacott), Ade Cheatham (Cooper Parry), Adam Irwin (Pitcher Partners), David Watt (Hall Chadwick), Steven Zabeti (Accru Felsers), James Black (Perks), Joseph Serrone (Polaris Tax).</t>
  </si>
  <si>
    <t xml:space="preserve">Fix 2: Direct emails replacing info@</t>
  </si>
  <si>
    <t xml:space="preserve">All leads with a verified name now use firstname.lastname@domain format. Remaining info@ leads are those where the decision-maker name still needs manual verification via Hunter.io or LinkedIn.</t>
  </si>
  <si>
    <t xml:space="preserve">Fix 3: Lead 10 (Larson) score fixed</t>
  </si>
  <si>
    <t xml:space="preserve">Score was blank in v1. Confirmed Greg Denning is Managing Partner. Score set to 8 (real estate/construction clients = high fraud exposure, mid-IPA size = budget + nimble).</t>
  </si>
  <si>
    <t xml:space="preserve">Fix 4: Sales Cycle column added</t>
  </si>
  <si>
    <t xml:space="preserve">New column flags 'Long-Term (3-6 months)' for IPA Top 25/100 large firms. These 13 firms are highlighted in red tint — do NOT prioritize week 1: Cherry Bekaert, Aprio, Citrin Cooperman, Withum, Marcum/CBIZ, Eide Bailly, Moss Adams, DHG, Plante Moran, Baker Tilly, BDO USA, RSM US, CLA. Exception: Baker Tilly flagged as high-priority despite LONG cycle due to new CEO + PE-backed Moss Adams merger = active vendor evaluation.</t>
  </si>
  <si>
    <t xml:space="preserve">Fix 5: Platform Note column added</t>
  </si>
  <si>
    <t xml:space="preserve">New column added for AU/Canada leads. 85% of Australian and Canadian firms are Xero-primary. Reframe any QuickBooks-specific messaging to Xero reconciliation and fraud detection for these 35 leads. UK leads that are Xero partners also flagged (MHA, Albert Goodman, Larking Gowen).</t>
  </si>
  <si>
    <t xml:space="preserve">Fix 6: Marcum warning added</t>
  </si>
  <si>
    <t xml:space="preserve">⚠️ Marcum LLP merged with CBIZ in 2024. Jeffrey Weiner is now senior advisor. Confirm current buying authority before outreach. Score reduced to 7 pending verification.</t>
  </si>
  <si>
    <t xml:space="preserve">Remaining manual tasks</t>
  </si>
  <si>
    <t xml:space="preserve">~10 leads still show 'Managing Partner' — these require a 30-second LinkedIn lookup to confirm the name before sending. Firms: Citrin Cooperman, Withum, Plante Moran, BDO USA, RSM US, CLA, Price Bailey, Crowe UK, PKF Littlejohn, Dixon Hughes Goodman.</t>
  </si>
  <si>
    <t xml:space="preserve">VANTIRS LEAD LIST v2 — SUMMARY</t>
  </si>
  <si>
    <t xml:space="preserve">Total Leads</t>
  </si>
  <si>
    <t xml:space="preserve">USA Leads</t>
  </si>
  <si>
    <t xml:space="preserve">UK Leads</t>
  </si>
  <si>
    <t xml:space="preserve">Canada Leads</t>
  </si>
  <si>
    <t xml:space="preserve">Australia Leads</t>
  </si>
  <si>
    <t xml:space="preserve">Short Cycle (Week 1 priority)</t>
  </si>
  <si>
    <t xml:space="preserve">Long-Term (3-6 months)</t>
  </si>
  <si>
    <t xml:space="preserve">Leads with Named Contact (not 'Managing Partner')</t>
  </si>
  <si>
    <t xml:space="preserve">Leads Still Needing Name Lookup</t>
  </si>
  <si>
    <t xml:space="preserve">Avg Conversion Score (All)</t>
  </si>
  <si>
    <t xml:space="preserve">Avg Conversion Score (Top 20)</t>
  </si>
  <si>
    <t xml:space="preserve">Leads Scoring 10 (Hottest)</t>
  </si>
  <si>
    <t xml:space="preserve">Leads Scoring 9-10</t>
  </si>
  <si>
    <t xml:space="preserve">Xero-Primary Leads (AU/CA flag)</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</si>
</sst>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name val="Arial"/>
      <family val="0"/>
      <charset val="1"/>
    </font>
    <font>
      <b val="true"/>
      <sz val="13"/>
      <color rgb="FF1F3864"/>
      <name val="Arial"/>
      <family val="0"/>
      <charset val="1"/>
    </font>
    <font>
      <b val="true"/>
      <sz val="1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FF2CC"/>
        <bgColor rgb="FFFFE0E0"/>
      </patternFill>
    </fill>
    <fill>
      <patternFill patternType="solid">
        <fgColor rgb="FFFFE0E0"/>
        <bgColor rgb="FFFFF2CC"/>
      </patternFill>
    </fill>
    <fill>
      <patternFill patternType="solid">
        <fgColor rgb="FFE8EEF7"/>
        <bgColor rgb="FFE8F5E9"/>
      </patternFill>
    </fill>
    <fill>
      <patternFill patternType="solid">
        <fgColor rgb="FFE8F5E9"/>
        <bgColor rgb="FFE8EEF7"/>
      </patternFill>
    </fill>
    <fill>
      <patternFill patternType="solid">
        <fgColor rgb="FF7B2D00"/>
        <bgColor rgb="FF8000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EF7"/>
      <rgbColor rgb="FFCCFFCC"/>
      <rgbColor rgb="FFFFFF99"/>
      <rgbColor rgb="FF99CCFF"/>
      <rgbColor rgb="FFFF99CC"/>
      <rgbColor rgb="FFCC99FF"/>
      <rgbColor rgb="FFFFE0E0"/>
      <rgbColor rgb="FF3366FF"/>
      <rgbColor rgb="FF33CCCC"/>
      <rgbColor rgb="FF99CC00"/>
      <rgbColor rgb="FFFFCC00"/>
      <rgbColor rgb="FFFF9900"/>
      <rgbColor rgb="FFFF6600"/>
      <rgbColor rgb="FF666699"/>
      <rgbColor rgb="FF969696"/>
      <rgbColor rgb="FF1F3864"/>
      <rgbColor rgb="FF339966"/>
      <rgbColor rgb="FF003300"/>
      <rgbColor rgb="FF333300"/>
      <rgbColor rgb="FF7B2D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28"/>
    <col collapsed="false" customWidth="true" hidden="false" outlineLevel="0" max="4" min="4" style="0" width="22"/>
    <col collapsed="false" customWidth="true" hidden="false" outlineLevel="0" max="5" min="5" style="0" width="10"/>
    <col collapsed="false" customWidth="true" hidden="false" outlineLevel="0" max="6" min="6" style="0" width="32"/>
    <col collapsed="false" customWidth="true" hidden="false" outlineLevel="0" max="7" min="7" style="0" width="35"/>
    <col collapsed="false" customWidth="true" hidden="false" outlineLevel="0" max="8" min="8" style="0" width="30"/>
    <col collapsed="false" customWidth="true" hidden="false" outlineLevel="0" max="9" min="9" style="0" width="58"/>
    <col collapsed="false" customWidth="true" hidden="false" outlineLevel="0" max="10" min="10" style="0" width="48"/>
    <col collapsed="false" customWidth="true" hidden="false" outlineLevel="0" max="11" min="11" style="0" width="30"/>
    <col collapsed="false" customWidth="true" hidden="false" outlineLevel="0" max="12" min="12" style="0" width="7"/>
    <col collapsed="false" customWidth="true" hidden="false" outlineLevel="0" max="13" min="13" style="0" width="20"/>
    <col collapsed="false" customWidth="true" hidden="false" outlineLevel="0" max="14" min="14" style="0" width="55"/>
  </cols>
  <sheetData>
    <row r="1" customFormat="false" ht="34.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22.35" hidden="false" customHeight="false" outlineLevel="0" collapsed="false">
      <c r="A2" s="2" t="n">
        <v>1</v>
      </c>
      <c r="B2" s="3" t="s">
        <v>14</v>
      </c>
      <c r="C2" s="2" t="s">
        <v>15</v>
      </c>
      <c r="D2" s="2" t="s">
        <v>16</v>
      </c>
      <c r="E2" s="2" t="s">
        <v>17</v>
      </c>
      <c r="F2" s="2" t="s">
        <v>18</v>
      </c>
      <c r="G2" s="2" t="s">
        <v>19</v>
      </c>
      <c r="H2" s="2" t="s">
        <v>20</v>
      </c>
      <c r="I2" s="2" t="s">
        <v>21</v>
      </c>
      <c r="J2" s="2" t="s">
        <v>22</v>
      </c>
      <c r="K2" s="2" t="s">
        <v>23</v>
      </c>
      <c r="L2" s="2" t="n">
        <v>10</v>
      </c>
      <c r="M2" s="2" t="s">
        <v>24</v>
      </c>
      <c r="N2" s="2" t="s">
        <v>25</v>
      </c>
    </row>
    <row r="3" customFormat="false" ht="22.35" hidden="false" customHeight="false" outlineLevel="0" collapsed="false">
      <c r="A3" s="2" t="n">
        <v>2</v>
      </c>
      <c r="B3" s="3" t="s">
        <v>26</v>
      </c>
      <c r="C3" s="2" t="s">
        <v>27</v>
      </c>
      <c r="D3" s="2" t="s">
        <v>28</v>
      </c>
      <c r="E3" s="2" t="s">
        <v>17</v>
      </c>
      <c r="F3" s="2" t="s">
        <v>29</v>
      </c>
      <c r="G3" s="2" t="s">
        <v>30</v>
      </c>
      <c r="H3" s="2" t="s">
        <v>31</v>
      </c>
      <c r="I3" s="2" t="s">
        <v>32</v>
      </c>
      <c r="J3" s="2" t="s">
        <v>33</v>
      </c>
      <c r="K3" s="2" t="s">
        <v>34</v>
      </c>
      <c r="L3" s="2" t="n">
        <v>10</v>
      </c>
      <c r="M3" s="2" t="s">
        <v>24</v>
      </c>
      <c r="N3" s="2" t="s">
        <v>25</v>
      </c>
    </row>
    <row r="4" customFormat="false" ht="32.8" hidden="false" customHeight="false" outlineLevel="0" collapsed="false">
      <c r="A4" s="2" t="n">
        <v>3</v>
      </c>
      <c r="B4" s="3" t="s">
        <v>35</v>
      </c>
      <c r="C4" s="2" t="s">
        <v>36</v>
      </c>
      <c r="D4" s="2" t="s">
        <v>16</v>
      </c>
      <c r="E4" s="2" t="s">
        <v>17</v>
      </c>
      <c r="F4" s="2" t="s">
        <v>37</v>
      </c>
      <c r="G4" s="2" t="s">
        <v>38</v>
      </c>
      <c r="H4" s="2" t="s">
        <v>6</v>
      </c>
      <c r="I4" s="2" t="s">
        <v>39</v>
      </c>
      <c r="J4" s="2" t="s">
        <v>40</v>
      </c>
      <c r="K4" s="2" t="s">
        <v>41</v>
      </c>
      <c r="L4" s="2" t="n">
        <v>10</v>
      </c>
      <c r="M4" s="2" t="s">
        <v>24</v>
      </c>
      <c r="N4" s="2" t="s">
        <v>25</v>
      </c>
    </row>
    <row r="5" customFormat="false" ht="22.35" hidden="false" customHeight="false" outlineLevel="0" collapsed="false">
      <c r="A5" s="2" t="n">
        <v>4</v>
      </c>
      <c r="B5" s="3" t="s">
        <v>42</v>
      </c>
      <c r="C5" s="2" t="s">
        <v>43</v>
      </c>
      <c r="D5" s="2" t="s">
        <v>44</v>
      </c>
      <c r="E5" s="2" t="s">
        <v>17</v>
      </c>
      <c r="F5" s="2" t="s">
        <v>45</v>
      </c>
      <c r="G5" s="2" t="s">
        <v>46</v>
      </c>
      <c r="H5" s="2" t="s">
        <v>47</v>
      </c>
      <c r="I5" s="2" t="s">
        <v>48</v>
      </c>
      <c r="J5" s="2" t="s">
        <v>49</v>
      </c>
      <c r="K5" s="2" t="s">
        <v>50</v>
      </c>
      <c r="L5" s="2" t="n">
        <v>9</v>
      </c>
      <c r="M5" s="2" t="s">
        <v>24</v>
      </c>
      <c r="N5" s="2" t="s">
        <v>25</v>
      </c>
    </row>
    <row r="6" customFormat="false" ht="22.35" hidden="false" customHeight="false" outlineLevel="0" collapsed="false">
      <c r="A6" s="2" t="n">
        <v>5</v>
      </c>
      <c r="B6" s="3" t="s">
        <v>51</v>
      </c>
      <c r="C6" s="2" t="s">
        <v>52</v>
      </c>
      <c r="D6" s="2" t="s">
        <v>53</v>
      </c>
      <c r="E6" s="2" t="s">
        <v>17</v>
      </c>
      <c r="F6" s="2" t="s">
        <v>54</v>
      </c>
      <c r="G6" s="2" t="s">
        <v>55</v>
      </c>
      <c r="H6" s="2" t="s">
        <v>56</v>
      </c>
      <c r="I6" s="2" t="s">
        <v>57</v>
      </c>
      <c r="J6" s="2" t="s">
        <v>58</v>
      </c>
      <c r="K6" s="2" t="s">
        <v>59</v>
      </c>
      <c r="L6" s="2" t="n">
        <v>9</v>
      </c>
      <c r="M6" s="2" t="s">
        <v>24</v>
      </c>
      <c r="N6" s="2" t="s">
        <v>25</v>
      </c>
    </row>
    <row r="7" customFormat="false" ht="32.8" hidden="false" customHeight="false" outlineLevel="0" collapsed="false">
      <c r="A7" s="2" t="n">
        <v>6</v>
      </c>
      <c r="B7" s="3" t="s">
        <v>60</v>
      </c>
      <c r="C7" s="2" t="s">
        <v>61</v>
      </c>
      <c r="D7" s="2" t="s">
        <v>62</v>
      </c>
      <c r="E7" s="2" t="s">
        <v>17</v>
      </c>
      <c r="F7" s="2" t="s">
        <v>63</v>
      </c>
      <c r="G7" s="2" t="s">
        <v>64</v>
      </c>
      <c r="H7" s="2" t="s">
        <v>65</v>
      </c>
      <c r="I7" s="2" t="s">
        <v>66</v>
      </c>
      <c r="J7" s="2" t="s">
        <v>67</v>
      </c>
      <c r="K7" s="2" t="s">
        <v>68</v>
      </c>
      <c r="L7" s="2" t="n">
        <v>9</v>
      </c>
      <c r="M7" s="2" t="s">
        <v>24</v>
      </c>
      <c r="N7" s="2" t="s">
        <v>25</v>
      </c>
    </row>
    <row r="8" customFormat="false" ht="22.35" hidden="false" customHeight="false" outlineLevel="0" collapsed="false">
      <c r="A8" s="2" t="n">
        <v>7</v>
      </c>
      <c r="B8" s="3" t="s">
        <v>69</v>
      </c>
      <c r="C8" s="2" t="s">
        <v>70</v>
      </c>
      <c r="D8" s="2" t="s">
        <v>71</v>
      </c>
      <c r="E8" s="2" t="s">
        <v>17</v>
      </c>
      <c r="F8" s="2" t="s">
        <v>72</v>
      </c>
      <c r="G8" s="2" t="s">
        <v>73</v>
      </c>
      <c r="H8" s="2" t="s">
        <v>74</v>
      </c>
      <c r="I8" s="2" t="s">
        <v>75</v>
      </c>
      <c r="J8" s="2" t="s">
        <v>76</v>
      </c>
      <c r="K8" s="2" t="s">
        <v>77</v>
      </c>
      <c r="L8" s="2" t="n">
        <v>8</v>
      </c>
      <c r="M8" s="2" t="s">
        <v>24</v>
      </c>
      <c r="N8" s="2" t="s">
        <v>25</v>
      </c>
    </row>
    <row r="9" customFormat="false" ht="32.8" hidden="false" customHeight="false" outlineLevel="0" collapsed="false">
      <c r="A9" s="2" t="n">
        <v>8</v>
      </c>
      <c r="B9" s="3" t="s">
        <v>78</v>
      </c>
      <c r="C9" s="2" t="s">
        <v>79</v>
      </c>
      <c r="D9" s="2" t="s">
        <v>80</v>
      </c>
      <c r="E9" s="2" t="s">
        <v>17</v>
      </c>
      <c r="F9" s="2" t="s">
        <v>81</v>
      </c>
      <c r="G9" s="2" t="s">
        <v>82</v>
      </c>
      <c r="H9" s="2" t="s">
        <v>83</v>
      </c>
      <c r="I9" s="2" t="s">
        <v>84</v>
      </c>
      <c r="J9" s="2" t="s">
        <v>85</v>
      </c>
      <c r="K9" s="2" t="s">
        <v>86</v>
      </c>
      <c r="L9" s="2" t="n">
        <v>8</v>
      </c>
      <c r="M9" s="2" t="s">
        <v>24</v>
      </c>
      <c r="N9" s="2" t="s">
        <v>25</v>
      </c>
    </row>
    <row r="10" customFormat="false" ht="22.35" hidden="false" customHeight="false" outlineLevel="0" collapsed="false">
      <c r="A10" s="2" t="n">
        <v>9</v>
      </c>
      <c r="B10" s="3" t="s">
        <v>87</v>
      </c>
      <c r="C10" s="2" t="s">
        <v>88</v>
      </c>
      <c r="D10" s="2" t="s">
        <v>89</v>
      </c>
      <c r="E10" s="2" t="s">
        <v>17</v>
      </c>
      <c r="F10" s="2" t="s">
        <v>90</v>
      </c>
      <c r="G10" s="2" t="s">
        <v>91</v>
      </c>
      <c r="H10" s="2" t="s">
        <v>92</v>
      </c>
      <c r="I10" s="2" t="s">
        <v>93</v>
      </c>
      <c r="J10" s="2" t="s">
        <v>94</v>
      </c>
      <c r="K10" s="2" t="s">
        <v>95</v>
      </c>
      <c r="L10" s="2" t="n">
        <v>8</v>
      </c>
      <c r="M10" s="2" t="s">
        <v>24</v>
      </c>
      <c r="N10" s="2" t="s">
        <v>25</v>
      </c>
    </row>
    <row r="11" customFormat="false" ht="22.35" hidden="false" customHeight="false" outlineLevel="0" collapsed="false">
      <c r="A11" s="2" t="n">
        <v>10</v>
      </c>
      <c r="B11" s="3" t="s">
        <v>96</v>
      </c>
      <c r="C11" s="2" t="s">
        <v>97</v>
      </c>
      <c r="D11" s="2" t="s">
        <v>16</v>
      </c>
      <c r="E11" s="2" t="s">
        <v>17</v>
      </c>
      <c r="F11" s="2" t="s">
        <v>98</v>
      </c>
      <c r="G11" s="2" t="s">
        <v>99</v>
      </c>
      <c r="H11" s="2" t="s">
        <v>100</v>
      </c>
      <c r="I11" s="2" t="s">
        <v>101</v>
      </c>
      <c r="J11" s="2" t="s">
        <v>102</v>
      </c>
      <c r="K11" s="2" t="s">
        <v>103</v>
      </c>
      <c r="L11" s="2" t="n">
        <v>8</v>
      </c>
      <c r="M11" s="2" t="s">
        <v>24</v>
      </c>
      <c r="N11" s="2" t="s">
        <v>25</v>
      </c>
    </row>
    <row r="12" customFormat="false" ht="32.8" hidden="false" customHeight="false" outlineLevel="0" collapsed="false">
      <c r="A12" s="2" t="n">
        <v>11</v>
      </c>
      <c r="B12" s="3" t="s">
        <v>104</v>
      </c>
      <c r="C12" s="2" t="s">
        <v>105</v>
      </c>
      <c r="D12" s="2" t="s">
        <v>106</v>
      </c>
      <c r="E12" s="2" t="s">
        <v>17</v>
      </c>
      <c r="F12" s="2" t="s">
        <v>107</v>
      </c>
      <c r="G12" s="2" t="s">
        <v>108</v>
      </c>
      <c r="H12" s="2" t="s">
        <v>109</v>
      </c>
      <c r="I12" s="2" t="s">
        <v>110</v>
      </c>
      <c r="J12" s="2" t="s">
        <v>111</v>
      </c>
      <c r="K12" s="2" t="s">
        <v>112</v>
      </c>
      <c r="L12" s="2" t="n">
        <v>8</v>
      </c>
      <c r="M12" s="2" t="s">
        <v>24</v>
      </c>
      <c r="N12" s="2" t="s">
        <v>25</v>
      </c>
    </row>
    <row r="13" customFormat="false" ht="22.35" hidden="false" customHeight="false" outlineLevel="0" collapsed="false">
      <c r="A13" s="2" t="n">
        <v>12</v>
      </c>
      <c r="B13" s="3" t="s">
        <v>113</v>
      </c>
      <c r="C13" s="2" t="s">
        <v>114</v>
      </c>
      <c r="D13" s="2" t="s">
        <v>89</v>
      </c>
      <c r="E13" s="2" t="s">
        <v>17</v>
      </c>
      <c r="F13" s="2" t="s">
        <v>115</v>
      </c>
      <c r="G13" s="2" t="s">
        <v>116</v>
      </c>
      <c r="H13" s="2" t="s">
        <v>117</v>
      </c>
      <c r="I13" s="2" t="s">
        <v>118</v>
      </c>
      <c r="J13" s="2" t="s">
        <v>119</v>
      </c>
      <c r="K13" s="2" t="s">
        <v>120</v>
      </c>
      <c r="L13" s="2" t="n">
        <v>8</v>
      </c>
      <c r="M13" s="2" t="s">
        <v>24</v>
      </c>
      <c r="N13" s="2" t="s">
        <v>25</v>
      </c>
    </row>
    <row r="14" customFormat="false" ht="22.35" hidden="false" customHeight="false" outlineLevel="0" collapsed="false">
      <c r="A14" s="2" t="n">
        <v>13</v>
      </c>
      <c r="B14" s="3" t="s">
        <v>121</v>
      </c>
      <c r="C14" s="2" t="s">
        <v>122</v>
      </c>
      <c r="D14" s="2" t="s">
        <v>123</v>
      </c>
      <c r="E14" s="2" t="s">
        <v>17</v>
      </c>
      <c r="F14" s="2" t="s">
        <v>124</v>
      </c>
      <c r="G14" s="2" t="s">
        <v>125</v>
      </c>
      <c r="H14" s="2" t="s">
        <v>126</v>
      </c>
      <c r="I14" s="2" t="s">
        <v>127</v>
      </c>
      <c r="J14" s="2" t="s">
        <v>128</v>
      </c>
      <c r="K14" s="2" t="s">
        <v>129</v>
      </c>
      <c r="L14" s="2" t="n">
        <v>9</v>
      </c>
      <c r="M14" s="2" t="s">
        <v>24</v>
      </c>
      <c r="N14" s="2" t="s">
        <v>25</v>
      </c>
    </row>
    <row r="15" customFormat="false" ht="22.35" hidden="false" customHeight="false" outlineLevel="0" collapsed="false">
      <c r="A15" s="2" t="n">
        <v>14</v>
      </c>
      <c r="B15" s="3" t="s">
        <v>130</v>
      </c>
      <c r="C15" s="2" t="s">
        <v>131</v>
      </c>
      <c r="D15" s="2" t="s">
        <v>132</v>
      </c>
      <c r="E15" s="2" t="s">
        <v>17</v>
      </c>
      <c r="F15" s="2" t="s">
        <v>133</v>
      </c>
      <c r="G15" s="2" t="s">
        <v>134</v>
      </c>
      <c r="H15" s="2" t="s">
        <v>135</v>
      </c>
      <c r="I15" s="2" t="s">
        <v>136</v>
      </c>
      <c r="J15" s="2" t="s">
        <v>137</v>
      </c>
      <c r="K15" s="2" t="s">
        <v>138</v>
      </c>
      <c r="L15" s="2" t="n">
        <v>7</v>
      </c>
      <c r="M15" s="2" t="s">
        <v>24</v>
      </c>
      <c r="N15" s="2" t="s">
        <v>25</v>
      </c>
    </row>
    <row r="16" customFormat="false" ht="22.35" hidden="false" customHeight="false" outlineLevel="0" collapsed="false">
      <c r="A16" s="2" t="n">
        <v>15</v>
      </c>
      <c r="B16" s="3" t="s">
        <v>139</v>
      </c>
      <c r="C16" s="2" t="s">
        <v>140</v>
      </c>
      <c r="D16" s="2" t="s">
        <v>141</v>
      </c>
      <c r="E16" s="2" t="s">
        <v>17</v>
      </c>
      <c r="F16" s="2" t="s">
        <v>142</v>
      </c>
      <c r="G16" s="2" t="s">
        <v>143</v>
      </c>
      <c r="H16" s="2" t="s">
        <v>144</v>
      </c>
      <c r="I16" s="2" t="s">
        <v>145</v>
      </c>
      <c r="J16" s="2" t="s">
        <v>146</v>
      </c>
      <c r="K16" s="2" t="s">
        <v>147</v>
      </c>
      <c r="L16" s="2" t="n">
        <v>8</v>
      </c>
      <c r="M16" s="2" t="s">
        <v>148</v>
      </c>
      <c r="N16" s="2" t="s">
        <v>25</v>
      </c>
    </row>
    <row r="17" customFormat="false" ht="22.35" hidden="false" customHeight="false" outlineLevel="0" collapsed="false">
      <c r="A17" s="2" t="n">
        <v>16</v>
      </c>
      <c r="B17" s="3" t="s">
        <v>149</v>
      </c>
      <c r="C17" s="2" t="s">
        <v>150</v>
      </c>
      <c r="D17" s="2" t="s">
        <v>151</v>
      </c>
      <c r="E17" s="2" t="s">
        <v>17</v>
      </c>
      <c r="F17" s="2" t="s">
        <v>152</v>
      </c>
      <c r="G17" s="2" t="s">
        <v>153</v>
      </c>
      <c r="H17" s="2" t="s">
        <v>154</v>
      </c>
      <c r="I17" s="2" t="s">
        <v>155</v>
      </c>
      <c r="J17" s="2" t="s">
        <v>156</v>
      </c>
      <c r="K17" s="2" t="s">
        <v>157</v>
      </c>
      <c r="L17" s="2" t="n">
        <v>9</v>
      </c>
      <c r="M17" s="2" t="s">
        <v>148</v>
      </c>
      <c r="N17" s="2" t="s">
        <v>25</v>
      </c>
    </row>
    <row r="18" customFormat="false" ht="22.35" hidden="false" customHeight="false" outlineLevel="0" collapsed="false">
      <c r="A18" s="2" t="n">
        <v>17</v>
      </c>
      <c r="B18" s="2" t="s">
        <v>16</v>
      </c>
      <c r="C18" s="2" t="s">
        <v>158</v>
      </c>
      <c r="D18" s="2" t="s">
        <v>159</v>
      </c>
      <c r="E18" s="2" t="s">
        <v>17</v>
      </c>
      <c r="F18" s="2" t="s">
        <v>160</v>
      </c>
      <c r="G18" s="2" t="s">
        <v>161</v>
      </c>
      <c r="H18" s="2" t="s">
        <v>162</v>
      </c>
      <c r="I18" s="2" t="s">
        <v>163</v>
      </c>
      <c r="J18" s="2" t="s">
        <v>164</v>
      </c>
      <c r="K18" s="2" t="s">
        <v>165</v>
      </c>
      <c r="L18" s="2" t="n">
        <v>8</v>
      </c>
      <c r="M18" s="2" t="s">
        <v>148</v>
      </c>
      <c r="N18" s="2" t="s">
        <v>25</v>
      </c>
    </row>
    <row r="19" customFormat="false" ht="22.35" hidden="false" customHeight="false" outlineLevel="0" collapsed="false">
      <c r="A19" s="2" t="n">
        <v>18</v>
      </c>
      <c r="B19" s="2" t="s">
        <v>16</v>
      </c>
      <c r="C19" s="2" t="s">
        <v>166</v>
      </c>
      <c r="D19" s="2" t="s">
        <v>159</v>
      </c>
      <c r="E19" s="2" t="s">
        <v>17</v>
      </c>
      <c r="F19" s="2" t="s">
        <v>167</v>
      </c>
      <c r="G19" s="2" t="s">
        <v>168</v>
      </c>
      <c r="H19" s="2" t="s">
        <v>169</v>
      </c>
      <c r="I19" s="2" t="s">
        <v>170</v>
      </c>
      <c r="J19" s="2" t="s">
        <v>171</v>
      </c>
      <c r="K19" s="2" t="s">
        <v>172</v>
      </c>
      <c r="L19" s="2" t="n">
        <v>9</v>
      </c>
      <c r="M19" s="2" t="s">
        <v>148</v>
      </c>
      <c r="N19" s="2" t="s">
        <v>25</v>
      </c>
    </row>
    <row r="20" customFormat="false" ht="22.35" hidden="false" customHeight="false" outlineLevel="0" collapsed="false">
      <c r="A20" s="2" t="n">
        <v>19</v>
      </c>
      <c r="B20" s="3" t="s">
        <v>173</v>
      </c>
      <c r="C20" s="2" t="s">
        <v>174</v>
      </c>
      <c r="D20" s="2" t="s">
        <v>175</v>
      </c>
      <c r="E20" s="2" t="s">
        <v>17</v>
      </c>
      <c r="F20" s="2" t="s">
        <v>176</v>
      </c>
      <c r="G20" s="2" t="s">
        <v>177</v>
      </c>
      <c r="H20" s="2" t="s">
        <v>178</v>
      </c>
      <c r="I20" s="2" t="s">
        <v>179</v>
      </c>
      <c r="J20" s="2" t="s">
        <v>180</v>
      </c>
      <c r="K20" s="2" t="s">
        <v>181</v>
      </c>
      <c r="L20" s="2" t="n">
        <v>7</v>
      </c>
      <c r="M20" s="2" t="s">
        <v>148</v>
      </c>
      <c r="N20" s="2" t="s">
        <v>25</v>
      </c>
    </row>
    <row r="21" customFormat="false" ht="22.35" hidden="false" customHeight="false" outlineLevel="0" collapsed="false">
      <c r="A21" s="2" t="n">
        <v>20</v>
      </c>
      <c r="B21" s="3" t="s">
        <v>182</v>
      </c>
      <c r="C21" s="2" t="s">
        <v>183</v>
      </c>
      <c r="D21" s="2" t="s">
        <v>184</v>
      </c>
      <c r="E21" s="2" t="s">
        <v>17</v>
      </c>
      <c r="F21" s="2" t="s">
        <v>185</v>
      </c>
      <c r="G21" s="2" t="s">
        <v>186</v>
      </c>
      <c r="H21" s="2" t="s">
        <v>187</v>
      </c>
      <c r="I21" s="2" t="s">
        <v>188</v>
      </c>
      <c r="J21" s="2" t="s">
        <v>189</v>
      </c>
      <c r="K21" s="2" t="s">
        <v>190</v>
      </c>
      <c r="L21" s="2" t="n">
        <v>9</v>
      </c>
      <c r="M21" s="2" t="s">
        <v>148</v>
      </c>
      <c r="N21" s="2" t="s">
        <v>25</v>
      </c>
    </row>
    <row r="22" customFormat="false" ht="22.35" hidden="false" customHeight="false" outlineLevel="0" collapsed="false">
      <c r="A22" s="4" t="n">
        <v>21</v>
      </c>
      <c r="B22" s="4" t="s">
        <v>16</v>
      </c>
      <c r="C22" s="4" t="s">
        <v>191</v>
      </c>
      <c r="D22" s="4" t="s">
        <v>159</v>
      </c>
      <c r="E22" s="4" t="s">
        <v>17</v>
      </c>
      <c r="F22" s="4" t="s">
        <v>192</v>
      </c>
      <c r="G22" s="4" t="s">
        <v>193</v>
      </c>
      <c r="H22" s="4" t="s">
        <v>194</v>
      </c>
      <c r="I22" s="4" t="s">
        <v>195</v>
      </c>
      <c r="J22" s="4" t="s">
        <v>196</v>
      </c>
      <c r="K22" s="4" t="s">
        <v>197</v>
      </c>
      <c r="L22" s="4" t="n">
        <v>8</v>
      </c>
      <c r="M22" s="4" t="s">
        <v>148</v>
      </c>
      <c r="N22" s="4" t="s">
        <v>25</v>
      </c>
    </row>
    <row r="23" customFormat="false" ht="22.35" hidden="false" customHeight="false" outlineLevel="0" collapsed="false">
      <c r="A23" s="4" t="n">
        <v>22</v>
      </c>
      <c r="B23" s="4" t="s">
        <v>16</v>
      </c>
      <c r="C23" s="4" t="s">
        <v>198</v>
      </c>
      <c r="D23" s="4" t="s">
        <v>159</v>
      </c>
      <c r="E23" s="4" t="s">
        <v>17</v>
      </c>
      <c r="F23" s="4" t="s">
        <v>199</v>
      </c>
      <c r="G23" s="4" t="s">
        <v>200</v>
      </c>
      <c r="H23" s="4" t="s">
        <v>201</v>
      </c>
      <c r="I23" s="4" t="s">
        <v>202</v>
      </c>
      <c r="J23" s="4" t="s">
        <v>203</v>
      </c>
      <c r="K23" s="4" t="s">
        <v>204</v>
      </c>
      <c r="L23" s="4" t="n">
        <v>8</v>
      </c>
      <c r="M23" s="4" t="s">
        <v>148</v>
      </c>
      <c r="N23" s="4" t="s">
        <v>25</v>
      </c>
    </row>
    <row r="24" customFormat="false" ht="22.35" hidden="false" customHeight="false" outlineLevel="0" collapsed="false">
      <c r="A24" s="4" t="n">
        <v>23</v>
      </c>
      <c r="B24" s="4" t="s">
        <v>16</v>
      </c>
      <c r="C24" s="4" t="s">
        <v>205</v>
      </c>
      <c r="D24" s="4" t="s">
        <v>159</v>
      </c>
      <c r="E24" s="4" t="s">
        <v>17</v>
      </c>
      <c r="F24" s="4" t="s">
        <v>206</v>
      </c>
      <c r="G24" s="4" t="s">
        <v>207</v>
      </c>
      <c r="H24" s="4" t="s">
        <v>208</v>
      </c>
      <c r="I24" s="4" t="s">
        <v>209</v>
      </c>
      <c r="J24" s="4" t="s">
        <v>210</v>
      </c>
      <c r="K24" s="4" t="s">
        <v>211</v>
      </c>
      <c r="L24" s="4" t="n">
        <v>7</v>
      </c>
      <c r="M24" s="4" t="s">
        <v>148</v>
      </c>
      <c r="N24" s="4" t="s">
        <v>25</v>
      </c>
    </row>
    <row r="25" customFormat="false" ht="32.8" hidden="false" customHeight="false" outlineLevel="0" collapsed="false">
      <c r="A25" s="4" t="n">
        <v>24</v>
      </c>
      <c r="B25" s="5" t="s">
        <v>212</v>
      </c>
      <c r="C25" s="4" t="s">
        <v>213</v>
      </c>
      <c r="D25" s="4" t="s">
        <v>214</v>
      </c>
      <c r="E25" s="4" t="s">
        <v>17</v>
      </c>
      <c r="F25" s="4" t="s">
        <v>215</v>
      </c>
      <c r="G25" s="4" t="s">
        <v>216</v>
      </c>
      <c r="H25" s="4" t="s">
        <v>217</v>
      </c>
      <c r="I25" s="4" t="s">
        <v>218</v>
      </c>
      <c r="J25" s="4" t="s">
        <v>219</v>
      </c>
      <c r="K25" s="4" t="s">
        <v>220</v>
      </c>
      <c r="L25" s="4" t="n">
        <v>10</v>
      </c>
      <c r="M25" s="4" t="s">
        <v>148</v>
      </c>
      <c r="N25" s="4" t="s">
        <v>25</v>
      </c>
    </row>
    <row r="26" customFormat="false" ht="22.35" hidden="false" customHeight="false" outlineLevel="0" collapsed="false">
      <c r="A26" s="4" t="n">
        <v>25</v>
      </c>
      <c r="B26" s="4" t="s">
        <v>16</v>
      </c>
      <c r="C26" s="4" t="s">
        <v>221</v>
      </c>
      <c r="D26" s="4" t="s">
        <v>222</v>
      </c>
      <c r="E26" s="4" t="s">
        <v>17</v>
      </c>
      <c r="F26" s="4" t="s">
        <v>223</v>
      </c>
      <c r="G26" s="4" t="s">
        <v>224</v>
      </c>
      <c r="H26" s="4" t="s">
        <v>225</v>
      </c>
      <c r="I26" s="4" t="s">
        <v>226</v>
      </c>
      <c r="J26" s="4" t="s">
        <v>227</v>
      </c>
      <c r="K26" s="4" t="s">
        <v>228</v>
      </c>
      <c r="L26" s="4" t="n">
        <v>8</v>
      </c>
      <c r="M26" s="4" t="s">
        <v>148</v>
      </c>
      <c r="N26" s="4" t="s">
        <v>25</v>
      </c>
    </row>
    <row r="27" customFormat="false" ht="22.35" hidden="false" customHeight="false" outlineLevel="0" collapsed="false">
      <c r="A27" s="4" t="n">
        <v>26</v>
      </c>
      <c r="B27" s="4" t="s">
        <v>16</v>
      </c>
      <c r="C27" s="4" t="s">
        <v>229</v>
      </c>
      <c r="D27" s="4" t="s">
        <v>159</v>
      </c>
      <c r="E27" s="4" t="s">
        <v>17</v>
      </c>
      <c r="F27" s="4" t="s">
        <v>230</v>
      </c>
      <c r="G27" s="4" t="s">
        <v>231</v>
      </c>
      <c r="H27" s="4" t="s">
        <v>232</v>
      </c>
      <c r="I27" s="4" t="s">
        <v>233</v>
      </c>
      <c r="J27" s="4" t="s">
        <v>234</v>
      </c>
      <c r="K27" s="4" t="s">
        <v>235</v>
      </c>
      <c r="L27" s="4" t="n">
        <v>9</v>
      </c>
      <c r="M27" s="4" t="s">
        <v>148</v>
      </c>
      <c r="N27" s="4" t="s">
        <v>25</v>
      </c>
    </row>
    <row r="28" customFormat="false" ht="22.35" hidden="false" customHeight="false" outlineLevel="0" collapsed="false">
      <c r="A28" s="4" t="n">
        <v>27</v>
      </c>
      <c r="B28" s="4" t="s">
        <v>16</v>
      </c>
      <c r="C28" s="4" t="s">
        <v>236</v>
      </c>
      <c r="D28" s="4" t="s">
        <v>159</v>
      </c>
      <c r="E28" s="4" t="s">
        <v>17</v>
      </c>
      <c r="F28" s="4" t="s">
        <v>237</v>
      </c>
      <c r="G28" s="4" t="s">
        <v>238</v>
      </c>
      <c r="H28" s="4" t="s">
        <v>239</v>
      </c>
      <c r="I28" s="4" t="s">
        <v>240</v>
      </c>
      <c r="J28" s="4" t="s">
        <v>241</v>
      </c>
      <c r="K28" s="4" t="s">
        <v>242</v>
      </c>
      <c r="L28" s="4" t="n">
        <v>9</v>
      </c>
      <c r="M28" s="4" t="s">
        <v>148</v>
      </c>
      <c r="N28" s="4" t="s">
        <v>25</v>
      </c>
    </row>
    <row r="29" customFormat="false" ht="22.35" hidden="false" customHeight="false" outlineLevel="0" collapsed="false">
      <c r="A29" s="6" t="n">
        <v>28</v>
      </c>
      <c r="B29" s="6" t="s">
        <v>16</v>
      </c>
      <c r="C29" s="6" t="s">
        <v>243</v>
      </c>
      <c r="D29" s="6" t="s">
        <v>71</v>
      </c>
      <c r="E29" s="6" t="s">
        <v>17</v>
      </c>
      <c r="F29" s="6" t="s">
        <v>244</v>
      </c>
      <c r="G29" s="6" t="s">
        <v>245</v>
      </c>
      <c r="H29" s="6" t="s">
        <v>246</v>
      </c>
      <c r="I29" s="6" t="s">
        <v>247</v>
      </c>
      <c r="J29" s="6" t="s">
        <v>248</v>
      </c>
      <c r="K29" s="6" t="s">
        <v>249</v>
      </c>
      <c r="L29" s="6" t="n">
        <v>10</v>
      </c>
      <c r="M29" s="6" t="s">
        <v>24</v>
      </c>
      <c r="N29" s="6" t="s">
        <v>25</v>
      </c>
    </row>
    <row r="30" customFormat="false" ht="22.35" hidden="false" customHeight="false" outlineLevel="0" collapsed="false">
      <c r="A30" s="4" t="n">
        <v>29</v>
      </c>
      <c r="B30" s="4" t="s">
        <v>16</v>
      </c>
      <c r="C30" s="4" t="s">
        <v>250</v>
      </c>
      <c r="D30" s="4" t="s">
        <v>251</v>
      </c>
      <c r="E30" s="4" t="s">
        <v>17</v>
      </c>
      <c r="F30" s="4" t="s">
        <v>252</v>
      </c>
      <c r="G30" s="4" t="s">
        <v>253</v>
      </c>
      <c r="H30" s="4" t="s">
        <v>254</v>
      </c>
      <c r="I30" s="4" t="s">
        <v>255</v>
      </c>
      <c r="J30" s="4" t="s">
        <v>256</v>
      </c>
      <c r="K30" s="4" t="s">
        <v>257</v>
      </c>
      <c r="L30" s="4" t="n">
        <v>9</v>
      </c>
      <c r="M30" s="4" t="s">
        <v>148</v>
      </c>
      <c r="N30" s="4" t="s">
        <v>25</v>
      </c>
    </row>
    <row r="31" customFormat="false" ht="22.35" hidden="false" customHeight="false" outlineLevel="0" collapsed="false">
      <c r="A31" s="4" t="n">
        <v>30</v>
      </c>
      <c r="B31" s="4" t="s">
        <v>16</v>
      </c>
      <c r="C31" s="4" t="s">
        <v>258</v>
      </c>
      <c r="D31" s="4" t="s">
        <v>259</v>
      </c>
      <c r="E31" s="4" t="s">
        <v>17</v>
      </c>
      <c r="F31" s="4" t="s">
        <v>260</v>
      </c>
      <c r="G31" s="4" t="s">
        <v>261</v>
      </c>
      <c r="H31" s="4" t="s">
        <v>262</v>
      </c>
      <c r="I31" s="4" t="s">
        <v>263</v>
      </c>
      <c r="J31" s="4" t="s">
        <v>264</v>
      </c>
      <c r="K31" s="4" t="s">
        <v>265</v>
      </c>
      <c r="L31" s="4" t="n">
        <v>9</v>
      </c>
      <c r="M31" s="4" t="s">
        <v>148</v>
      </c>
      <c r="N31" s="4" t="s">
        <v>25</v>
      </c>
    </row>
    <row r="32" customFormat="false" ht="22.35" hidden="false" customHeight="false" outlineLevel="0" collapsed="false">
      <c r="A32" s="4" t="n">
        <v>31</v>
      </c>
      <c r="B32" s="4" t="s">
        <v>16</v>
      </c>
      <c r="C32" s="4" t="s">
        <v>266</v>
      </c>
      <c r="D32" s="4" t="s">
        <v>71</v>
      </c>
      <c r="E32" s="4" t="s">
        <v>17</v>
      </c>
      <c r="F32" s="4" t="s">
        <v>267</v>
      </c>
      <c r="G32" s="4" t="s">
        <v>268</v>
      </c>
      <c r="H32" s="4" t="s">
        <v>269</v>
      </c>
      <c r="I32" s="4" t="s">
        <v>270</v>
      </c>
      <c r="J32" s="4" t="s">
        <v>271</v>
      </c>
      <c r="K32" s="4" t="s">
        <v>272</v>
      </c>
      <c r="L32" s="4" t="n">
        <v>9</v>
      </c>
      <c r="M32" s="4" t="s">
        <v>148</v>
      </c>
      <c r="N32" s="4" t="s">
        <v>25</v>
      </c>
    </row>
    <row r="33" customFormat="false" ht="22.35" hidden="false" customHeight="false" outlineLevel="0" collapsed="false">
      <c r="A33" s="6" t="n">
        <v>32</v>
      </c>
      <c r="B33" s="6" t="s">
        <v>16</v>
      </c>
      <c r="C33" s="6" t="s">
        <v>273</v>
      </c>
      <c r="D33" s="6" t="s">
        <v>16</v>
      </c>
      <c r="E33" s="6" t="s">
        <v>17</v>
      </c>
      <c r="F33" s="6" t="s">
        <v>274</v>
      </c>
      <c r="G33" s="6" t="s">
        <v>275</v>
      </c>
      <c r="H33" s="6" t="s">
        <v>276</v>
      </c>
      <c r="I33" s="6" t="s">
        <v>277</v>
      </c>
      <c r="J33" s="6" t="s">
        <v>278</v>
      </c>
      <c r="K33" s="6" t="s">
        <v>279</v>
      </c>
      <c r="L33" s="6" t="n">
        <v>8</v>
      </c>
      <c r="M33" s="6" t="s">
        <v>24</v>
      </c>
      <c r="N33" s="6" t="s">
        <v>25</v>
      </c>
    </row>
    <row r="34" customFormat="false" ht="22.35" hidden="false" customHeight="false" outlineLevel="0" collapsed="false">
      <c r="A34" s="7" t="n">
        <v>33</v>
      </c>
      <c r="B34" s="7" t="s">
        <v>16</v>
      </c>
      <c r="C34" s="7" t="s">
        <v>280</v>
      </c>
      <c r="D34" s="7" t="s">
        <v>16</v>
      </c>
      <c r="E34" s="7" t="s">
        <v>17</v>
      </c>
      <c r="F34" s="7" t="s">
        <v>281</v>
      </c>
      <c r="G34" s="7" t="s">
        <v>282</v>
      </c>
      <c r="H34" s="7" t="s">
        <v>283</v>
      </c>
      <c r="I34" s="7" t="s">
        <v>284</v>
      </c>
      <c r="J34" s="7" t="s">
        <v>285</v>
      </c>
      <c r="K34" s="7" t="s">
        <v>103</v>
      </c>
      <c r="L34" s="7" t="n">
        <v>8</v>
      </c>
      <c r="M34" s="7" t="s">
        <v>24</v>
      </c>
      <c r="N34" s="7" t="s">
        <v>25</v>
      </c>
    </row>
    <row r="35" customFormat="false" ht="22.35" hidden="false" customHeight="false" outlineLevel="0" collapsed="false">
      <c r="A35" s="6" t="n">
        <v>34</v>
      </c>
      <c r="B35" s="6" t="s">
        <v>16</v>
      </c>
      <c r="C35" s="6" t="s">
        <v>286</v>
      </c>
      <c r="D35" s="6" t="s">
        <v>16</v>
      </c>
      <c r="E35" s="6" t="s">
        <v>17</v>
      </c>
      <c r="F35" s="6" t="s">
        <v>287</v>
      </c>
      <c r="G35" s="6" t="s">
        <v>288</v>
      </c>
      <c r="H35" s="6" t="s">
        <v>289</v>
      </c>
      <c r="I35" s="6" t="s">
        <v>290</v>
      </c>
      <c r="J35" s="6" t="s">
        <v>291</v>
      </c>
      <c r="K35" s="6" t="s">
        <v>292</v>
      </c>
      <c r="L35" s="6" t="n">
        <v>8</v>
      </c>
      <c r="M35" s="6" t="s">
        <v>24</v>
      </c>
      <c r="N35" s="6" t="s">
        <v>25</v>
      </c>
    </row>
    <row r="36" customFormat="false" ht="22.35" hidden="false" customHeight="false" outlineLevel="0" collapsed="false">
      <c r="A36" s="7" t="n">
        <v>35</v>
      </c>
      <c r="B36" s="7" t="s">
        <v>16</v>
      </c>
      <c r="C36" s="7" t="s">
        <v>293</v>
      </c>
      <c r="D36" s="7" t="s">
        <v>16</v>
      </c>
      <c r="E36" s="7" t="s">
        <v>17</v>
      </c>
      <c r="F36" s="7" t="s">
        <v>294</v>
      </c>
      <c r="G36" s="7" t="s">
        <v>295</v>
      </c>
      <c r="H36" s="7" t="s">
        <v>296</v>
      </c>
      <c r="I36" s="7" t="s">
        <v>297</v>
      </c>
      <c r="J36" s="7" t="s">
        <v>298</v>
      </c>
      <c r="K36" s="7" t="s">
        <v>299</v>
      </c>
      <c r="L36" s="7" t="n">
        <v>8</v>
      </c>
      <c r="M36" s="7" t="s">
        <v>24</v>
      </c>
      <c r="N36" s="7" t="s">
        <v>25</v>
      </c>
    </row>
    <row r="37" customFormat="false" ht="22.35" hidden="false" customHeight="false" outlineLevel="0" collapsed="false">
      <c r="A37" s="6" t="n">
        <v>36</v>
      </c>
      <c r="B37" s="6" t="s">
        <v>16</v>
      </c>
      <c r="C37" s="6" t="s">
        <v>300</v>
      </c>
      <c r="D37" s="6" t="s">
        <v>16</v>
      </c>
      <c r="E37" s="6" t="s">
        <v>17</v>
      </c>
      <c r="F37" s="6" t="s">
        <v>301</v>
      </c>
      <c r="G37" s="6" t="s">
        <v>302</v>
      </c>
      <c r="H37" s="6" t="s">
        <v>303</v>
      </c>
      <c r="I37" s="6" t="s">
        <v>304</v>
      </c>
      <c r="J37" s="6" t="s">
        <v>305</v>
      </c>
      <c r="K37" s="6" t="s">
        <v>306</v>
      </c>
      <c r="L37" s="6" t="n">
        <v>9</v>
      </c>
      <c r="M37" s="6" t="s">
        <v>24</v>
      </c>
      <c r="N37" s="6" t="s">
        <v>25</v>
      </c>
    </row>
    <row r="38" customFormat="false" ht="22.35" hidden="false" customHeight="false" outlineLevel="0" collapsed="false">
      <c r="A38" s="7" t="n">
        <v>37</v>
      </c>
      <c r="B38" s="7" t="s">
        <v>16</v>
      </c>
      <c r="C38" s="7" t="s">
        <v>307</v>
      </c>
      <c r="D38" s="7" t="s">
        <v>16</v>
      </c>
      <c r="E38" s="7" t="s">
        <v>17</v>
      </c>
      <c r="F38" s="7" t="s">
        <v>308</v>
      </c>
      <c r="G38" s="7" t="s">
        <v>309</v>
      </c>
      <c r="H38" s="7" t="s">
        <v>310</v>
      </c>
      <c r="I38" s="7" t="s">
        <v>311</v>
      </c>
      <c r="J38" s="7" t="s">
        <v>312</v>
      </c>
      <c r="K38" s="7" t="s">
        <v>313</v>
      </c>
      <c r="L38" s="7" t="n">
        <v>9</v>
      </c>
      <c r="M38" s="7" t="s">
        <v>24</v>
      </c>
      <c r="N38" s="7" t="s">
        <v>25</v>
      </c>
    </row>
    <row r="39" customFormat="false" ht="22.35" hidden="false" customHeight="false" outlineLevel="0" collapsed="false">
      <c r="A39" s="6" t="n">
        <v>38</v>
      </c>
      <c r="B39" s="6" t="s">
        <v>16</v>
      </c>
      <c r="C39" s="6" t="s">
        <v>314</v>
      </c>
      <c r="D39" s="6" t="s">
        <v>159</v>
      </c>
      <c r="E39" s="6" t="s">
        <v>17</v>
      </c>
      <c r="F39" s="6" t="s">
        <v>315</v>
      </c>
      <c r="G39" s="6" t="s">
        <v>316</v>
      </c>
      <c r="H39" s="6" t="s">
        <v>317</v>
      </c>
      <c r="I39" s="6" t="s">
        <v>318</v>
      </c>
      <c r="J39" s="6" t="s">
        <v>319</v>
      </c>
      <c r="K39" s="6" t="s">
        <v>320</v>
      </c>
      <c r="L39" s="6" t="n">
        <v>10</v>
      </c>
      <c r="M39" s="6" t="s">
        <v>24</v>
      </c>
      <c r="N39" s="6" t="s">
        <v>25</v>
      </c>
    </row>
    <row r="40" customFormat="false" ht="22.35" hidden="false" customHeight="false" outlineLevel="0" collapsed="false">
      <c r="A40" s="7" t="n">
        <v>39</v>
      </c>
      <c r="B40" s="7" t="s">
        <v>16</v>
      </c>
      <c r="C40" s="7" t="s">
        <v>321</v>
      </c>
      <c r="D40" s="7" t="s">
        <v>16</v>
      </c>
      <c r="E40" s="7" t="s">
        <v>17</v>
      </c>
      <c r="F40" s="7" t="s">
        <v>322</v>
      </c>
      <c r="G40" s="7" t="s">
        <v>323</v>
      </c>
      <c r="H40" s="7" t="s">
        <v>324</v>
      </c>
      <c r="I40" s="7" t="s">
        <v>325</v>
      </c>
      <c r="J40" s="7" t="s">
        <v>326</v>
      </c>
      <c r="K40" s="7" t="s">
        <v>327</v>
      </c>
      <c r="L40" s="7" t="n">
        <v>8</v>
      </c>
      <c r="M40" s="7" t="s">
        <v>24</v>
      </c>
      <c r="N40" s="7" t="s">
        <v>25</v>
      </c>
    </row>
    <row r="41" customFormat="false" ht="22.35" hidden="false" customHeight="false" outlineLevel="0" collapsed="false">
      <c r="A41" s="6" t="n">
        <v>40</v>
      </c>
      <c r="B41" s="6" t="s">
        <v>16</v>
      </c>
      <c r="C41" s="6" t="s">
        <v>328</v>
      </c>
      <c r="D41" s="6" t="s">
        <v>16</v>
      </c>
      <c r="E41" s="6" t="s">
        <v>17</v>
      </c>
      <c r="F41" s="6" t="s">
        <v>329</v>
      </c>
      <c r="G41" s="6" t="s">
        <v>330</v>
      </c>
      <c r="H41" s="6" t="s">
        <v>331</v>
      </c>
      <c r="I41" s="6" t="s">
        <v>332</v>
      </c>
      <c r="J41" s="6" t="s">
        <v>333</v>
      </c>
      <c r="K41" s="6" t="s">
        <v>334</v>
      </c>
      <c r="L41" s="6" t="n">
        <v>8</v>
      </c>
      <c r="M41" s="6" t="s">
        <v>24</v>
      </c>
      <c r="N41" s="6" t="s">
        <v>25</v>
      </c>
    </row>
    <row r="42" customFormat="false" ht="22.35" hidden="false" customHeight="false" outlineLevel="0" collapsed="false">
      <c r="A42" s="7" t="n">
        <v>41</v>
      </c>
      <c r="B42" s="7" t="s">
        <v>16</v>
      </c>
      <c r="C42" s="7" t="s">
        <v>335</v>
      </c>
      <c r="D42" s="7" t="s">
        <v>159</v>
      </c>
      <c r="E42" s="7" t="s">
        <v>17</v>
      </c>
      <c r="F42" s="7" t="s">
        <v>336</v>
      </c>
      <c r="G42" s="7" t="s">
        <v>337</v>
      </c>
      <c r="H42" s="7" t="s">
        <v>338</v>
      </c>
      <c r="I42" s="7" t="s">
        <v>339</v>
      </c>
      <c r="J42" s="7" t="s">
        <v>340</v>
      </c>
      <c r="K42" s="7" t="s">
        <v>341</v>
      </c>
      <c r="L42" s="7" t="n">
        <v>8</v>
      </c>
      <c r="M42" s="7" t="s">
        <v>24</v>
      </c>
      <c r="N42" s="7" t="s">
        <v>25</v>
      </c>
    </row>
    <row r="43" customFormat="false" ht="22.35" hidden="false" customHeight="false" outlineLevel="0" collapsed="false">
      <c r="A43" s="6" t="n">
        <v>42</v>
      </c>
      <c r="B43" s="6" t="s">
        <v>16</v>
      </c>
      <c r="C43" s="6" t="s">
        <v>342</v>
      </c>
      <c r="D43" s="6" t="s">
        <v>71</v>
      </c>
      <c r="E43" s="6" t="s">
        <v>17</v>
      </c>
      <c r="F43" s="6" t="s">
        <v>343</v>
      </c>
      <c r="G43" s="6" t="s">
        <v>344</v>
      </c>
      <c r="H43" s="6" t="s">
        <v>345</v>
      </c>
      <c r="I43" s="6" t="s">
        <v>346</v>
      </c>
      <c r="J43" s="6" t="s">
        <v>347</v>
      </c>
      <c r="K43" s="6" t="s">
        <v>348</v>
      </c>
      <c r="L43" s="6" t="n">
        <v>9</v>
      </c>
      <c r="M43" s="6" t="s">
        <v>24</v>
      </c>
      <c r="N43" s="6" t="s">
        <v>25</v>
      </c>
    </row>
    <row r="44" customFormat="false" ht="22.35" hidden="false" customHeight="false" outlineLevel="0" collapsed="false">
      <c r="A44" s="7" t="n">
        <v>43</v>
      </c>
      <c r="B44" s="7" t="s">
        <v>16</v>
      </c>
      <c r="C44" s="7" t="s">
        <v>349</v>
      </c>
      <c r="D44" s="7" t="s">
        <v>159</v>
      </c>
      <c r="E44" s="7" t="s">
        <v>17</v>
      </c>
      <c r="F44" s="7" t="s">
        <v>350</v>
      </c>
      <c r="G44" s="7" t="s">
        <v>351</v>
      </c>
      <c r="H44" s="7" t="s">
        <v>352</v>
      </c>
      <c r="I44" s="7" t="s">
        <v>353</v>
      </c>
      <c r="J44" s="7" t="s">
        <v>354</v>
      </c>
      <c r="K44" s="7" t="s">
        <v>41</v>
      </c>
      <c r="L44" s="7" t="n">
        <v>8</v>
      </c>
      <c r="M44" s="7" t="s">
        <v>24</v>
      </c>
      <c r="N44" s="7" t="s">
        <v>25</v>
      </c>
    </row>
    <row r="45" customFormat="false" ht="22.35" hidden="false" customHeight="false" outlineLevel="0" collapsed="false">
      <c r="A45" s="6" t="n">
        <v>44</v>
      </c>
      <c r="B45" s="6" t="s">
        <v>16</v>
      </c>
      <c r="C45" s="6" t="s">
        <v>355</v>
      </c>
      <c r="D45" s="6" t="s">
        <v>71</v>
      </c>
      <c r="E45" s="6" t="s">
        <v>17</v>
      </c>
      <c r="F45" s="6" t="s">
        <v>356</v>
      </c>
      <c r="G45" s="6" t="s">
        <v>357</v>
      </c>
      <c r="H45" s="6" t="s">
        <v>358</v>
      </c>
      <c r="I45" s="6" t="s">
        <v>359</v>
      </c>
      <c r="J45" s="6" t="s">
        <v>360</v>
      </c>
      <c r="K45" s="6" t="s">
        <v>361</v>
      </c>
      <c r="L45" s="6" t="n">
        <v>10</v>
      </c>
      <c r="M45" s="6" t="s">
        <v>24</v>
      </c>
      <c r="N45" s="6" t="s">
        <v>25</v>
      </c>
    </row>
    <row r="46" customFormat="false" ht="22.35" hidden="false" customHeight="false" outlineLevel="0" collapsed="false">
      <c r="A46" s="7" t="n">
        <v>45</v>
      </c>
      <c r="B46" s="7" t="s">
        <v>16</v>
      </c>
      <c r="C46" s="7" t="s">
        <v>362</v>
      </c>
      <c r="D46" s="7" t="s">
        <v>16</v>
      </c>
      <c r="E46" s="7" t="s">
        <v>17</v>
      </c>
      <c r="F46" s="7" t="s">
        <v>363</v>
      </c>
      <c r="G46" s="7" t="s">
        <v>364</v>
      </c>
      <c r="H46" s="7" t="s">
        <v>365</v>
      </c>
      <c r="I46" s="7" t="s">
        <v>366</v>
      </c>
      <c r="J46" s="7" t="s">
        <v>367</v>
      </c>
      <c r="K46" s="7" t="s">
        <v>368</v>
      </c>
      <c r="L46" s="7" t="n">
        <v>9</v>
      </c>
      <c r="M46" s="7" t="s">
        <v>24</v>
      </c>
      <c r="N46" s="7" t="s">
        <v>25</v>
      </c>
    </row>
    <row r="47" customFormat="false" ht="22.35" hidden="false" customHeight="false" outlineLevel="0" collapsed="false">
      <c r="A47" s="6" t="n">
        <v>46</v>
      </c>
      <c r="B47" s="6" t="s">
        <v>16</v>
      </c>
      <c r="C47" s="6" t="s">
        <v>369</v>
      </c>
      <c r="D47" s="6" t="s">
        <v>16</v>
      </c>
      <c r="E47" s="6" t="s">
        <v>17</v>
      </c>
      <c r="F47" s="6" t="s">
        <v>370</v>
      </c>
      <c r="G47" s="6" t="s">
        <v>371</v>
      </c>
      <c r="H47" s="6" t="s">
        <v>372</v>
      </c>
      <c r="I47" s="6" t="s">
        <v>373</v>
      </c>
      <c r="J47" s="6" t="s">
        <v>374</v>
      </c>
      <c r="K47" s="6" t="s">
        <v>375</v>
      </c>
      <c r="L47" s="6" t="n">
        <v>8</v>
      </c>
      <c r="M47" s="6" t="s">
        <v>24</v>
      </c>
      <c r="N47" s="6" t="s">
        <v>25</v>
      </c>
    </row>
    <row r="48" customFormat="false" ht="22.35" hidden="false" customHeight="false" outlineLevel="0" collapsed="false">
      <c r="A48" s="7" t="n">
        <v>47</v>
      </c>
      <c r="B48" s="7" t="s">
        <v>16</v>
      </c>
      <c r="C48" s="7" t="s">
        <v>376</v>
      </c>
      <c r="D48" s="7" t="s">
        <v>16</v>
      </c>
      <c r="E48" s="7" t="s">
        <v>17</v>
      </c>
      <c r="F48" s="7" t="s">
        <v>377</v>
      </c>
      <c r="G48" s="7" t="s">
        <v>378</v>
      </c>
      <c r="H48" s="7" t="s">
        <v>379</v>
      </c>
      <c r="I48" s="7" t="s">
        <v>380</v>
      </c>
      <c r="J48" s="7" t="s">
        <v>381</v>
      </c>
      <c r="K48" s="7" t="s">
        <v>382</v>
      </c>
      <c r="L48" s="7" t="n">
        <v>8</v>
      </c>
      <c r="M48" s="7" t="s">
        <v>24</v>
      </c>
      <c r="N48" s="7" t="s">
        <v>25</v>
      </c>
    </row>
    <row r="49" customFormat="false" ht="22.35" hidden="false" customHeight="false" outlineLevel="0" collapsed="false">
      <c r="A49" s="6" t="n">
        <v>48</v>
      </c>
      <c r="B49" s="6" t="s">
        <v>16</v>
      </c>
      <c r="C49" s="6" t="s">
        <v>383</v>
      </c>
      <c r="D49" s="6" t="s">
        <v>89</v>
      </c>
      <c r="E49" s="6" t="s">
        <v>17</v>
      </c>
      <c r="F49" s="6" t="s">
        <v>281</v>
      </c>
      <c r="G49" s="6" t="s">
        <v>282</v>
      </c>
      <c r="H49" s="6" t="s">
        <v>384</v>
      </c>
      <c r="I49" s="6" t="s">
        <v>385</v>
      </c>
      <c r="J49" s="6" t="s">
        <v>386</v>
      </c>
      <c r="K49" s="6" t="s">
        <v>387</v>
      </c>
      <c r="L49" s="6" t="n">
        <v>8</v>
      </c>
      <c r="M49" s="6" t="s">
        <v>24</v>
      </c>
      <c r="N49" s="6" t="s">
        <v>25</v>
      </c>
    </row>
    <row r="50" customFormat="false" ht="22.35" hidden="false" customHeight="false" outlineLevel="0" collapsed="false">
      <c r="A50" s="7" t="n">
        <v>49</v>
      </c>
      <c r="B50" s="7" t="s">
        <v>16</v>
      </c>
      <c r="C50" s="7" t="s">
        <v>388</v>
      </c>
      <c r="D50" s="7" t="s">
        <v>16</v>
      </c>
      <c r="E50" s="7" t="s">
        <v>17</v>
      </c>
      <c r="F50" s="7" t="s">
        <v>389</v>
      </c>
      <c r="G50" s="7" t="s">
        <v>390</v>
      </c>
      <c r="H50" s="7" t="s">
        <v>391</v>
      </c>
      <c r="I50" s="7" t="s">
        <v>392</v>
      </c>
      <c r="J50" s="7" t="s">
        <v>393</v>
      </c>
      <c r="K50" s="7" t="s">
        <v>394</v>
      </c>
      <c r="L50" s="7" t="n">
        <v>8</v>
      </c>
      <c r="M50" s="7" t="s">
        <v>24</v>
      </c>
      <c r="N50" s="7" t="s">
        <v>25</v>
      </c>
    </row>
    <row r="51" customFormat="false" ht="22.35" hidden="false" customHeight="false" outlineLevel="0" collapsed="false">
      <c r="A51" s="6" t="n">
        <v>50</v>
      </c>
      <c r="B51" s="6" t="s">
        <v>16</v>
      </c>
      <c r="C51" s="6" t="s">
        <v>395</v>
      </c>
      <c r="D51" s="6" t="s">
        <v>16</v>
      </c>
      <c r="E51" s="6" t="s">
        <v>17</v>
      </c>
      <c r="F51" s="6" t="s">
        <v>396</v>
      </c>
      <c r="G51" s="6" t="s">
        <v>397</v>
      </c>
      <c r="H51" s="6" t="s">
        <v>398</v>
      </c>
      <c r="I51" s="6" t="s">
        <v>399</v>
      </c>
      <c r="J51" s="6" t="s">
        <v>400</v>
      </c>
      <c r="K51" s="6" t="s">
        <v>401</v>
      </c>
      <c r="L51" s="6" t="n">
        <v>8</v>
      </c>
      <c r="M51" s="6" t="s">
        <v>24</v>
      </c>
      <c r="N51" s="6" t="s">
        <v>25</v>
      </c>
    </row>
    <row r="52" customFormat="false" ht="22.35" hidden="false" customHeight="false" outlineLevel="0" collapsed="false">
      <c r="A52" s="6" t="n">
        <v>51</v>
      </c>
      <c r="B52" s="6" t="s">
        <v>16</v>
      </c>
      <c r="C52" s="6" t="s">
        <v>402</v>
      </c>
      <c r="D52" s="6" t="s">
        <v>16</v>
      </c>
      <c r="E52" s="6" t="s">
        <v>403</v>
      </c>
      <c r="F52" s="6" t="s">
        <v>404</v>
      </c>
      <c r="G52" s="6" t="s">
        <v>405</v>
      </c>
      <c r="H52" s="6" t="s">
        <v>406</v>
      </c>
      <c r="I52" s="6" t="s">
        <v>407</v>
      </c>
      <c r="J52" s="6" t="s">
        <v>408</v>
      </c>
      <c r="K52" s="6" t="s">
        <v>409</v>
      </c>
      <c r="L52" s="6" t="n">
        <v>9</v>
      </c>
      <c r="M52" s="6" t="s">
        <v>24</v>
      </c>
      <c r="N52" s="6"/>
    </row>
    <row r="53" customFormat="false" ht="22.35" hidden="false" customHeight="false" outlineLevel="0" collapsed="false">
      <c r="A53" s="8" t="n">
        <v>52</v>
      </c>
      <c r="B53" s="8" t="s">
        <v>16</v>
      </c>
      <c r="C53" s="8" t="s">
        <v>410</v>
      </c>
      <c r="D53" s="8" t="s">
        <v>16</v>
      </c>
      <c r="E53" s="8" t="s">
        <v>403</v>
      </c>
      <c r="F53" s="8" t="s">
        <v>411</v>
      </c>
      <c r="G53" s="8" t="s">
        <v>412</v>
      </c>
      <c r="H53" s="8" t="s">
        <v>413</v>
      </c>
      <c r="I53" s="8" t="s">
        <v>414</v>
      </c>
      <c r="J53" s="8" t="s">
        <v>415</v>
      </c>
      <c r="K53" s="8" t="s">
        <v>416</v>
      </c>
      <c r="L53" s="8" t="n">
        <v>9</v>
      </c>
      <c r="M53" s="8" t="s">
        <v>24</v>
      </c>
      <c r="N53" s="8" t="s">
        <v>417</v>
      </c>
    </row>
    <row r="54" customFormat="false" ht="22.35" hidden="false" customHeight="false" outlineLevel="0" collapsed="false">
      <c r="A54" s="6" t="n">
        <v>53</v>
      </c>
      <c r="B54" s="6" t="s">
        <v>16</v>
      </c>
      <c r="C54" s="6" t="s">
        <v>418</v>
      </c>
      <c r="D54" s="6" t="s">
        <v>16</v>
      </c>
      <c r="E54" s="6" t="s">
        <v>403</v>
      </c>
      <c r="F54" s="6" t="s">
        <v>419</v>
      </c>
      <c r="G54" s="6" t="s">
        <v>420</v>
      </c>
      <c r="H54" s="6" t="s">
        <v>421</v>
      </c>
      <c r="I54" s="6" t="s">
        <v>422</v>
      </c>
      <c r="J54" s="6" t="s">
        <v>423</v>
      </c>
      <c r="K54" s="6" t="s">
        <v>424</v>
      </c>
      <c r="L54" s="6" t="n">
        <v>10</v>
      </c>
      <c r="M54" s="6" t="s">
        <v>24</v>
      </c>
      <c r="N54" s="6"/>
    </row>
    <row r="55" customFormat="false" ht="22.35" hidden="false" customHeight="false" outlineLevel="0" collapsed="false">
      <c r="A55" s="8" t="n">
        <v>54</v>
      </c>
      <c r="B55" s="8" t="s">
        <v>16</v>
      </c>
      <c r="C55" s="8" t="s">
        <v>425</v>
      </c>
      <c r="D55" s="8" t="s">
        <v>159</v>
      </c>
      <c r="E55" s="8" t="s">
        <v>403</v>
      </c>
      <c r="F55" s="8" t="s">
        <v>426</v>
      </c>
      <c r="G55" s="8" t="s">
        <v>427</v>
      </c>
      <c r="H55" s="8" t="s">
        <v>428</v>
      </c>
      <c r="I55" s="8" t="s">
        <v>429</v>
      </c>
      <c r="J55" s="8" t="s">
        <v>430</v>
      </c>
      <c r="K55" s="8" t="s">
        <v>431</v>
      </c>
      <c r="L55" s="8" t="n">
        <v>9</v>
      </c>
      <c r="M55" s="8" t="s">
        <v>24</v>
      </c>
      <c r="N55" s="8"/>
    </row>
    <row r="56" customFormat="false" ht="22.35" hidden="false" customHeight="false" outlineLevel="0" collapsed="false">
      <c r="A56" s="6" t="n">
        <v>55</v>
      </c>
      <c r="B56" s="6" t="s">
        <v>16</v>
      </c>
      <c r="C56" s="6" t="s">
        <v>432</v>
      </c>
      <c r="D56" s="6" t="s">
        <v>159</v>
      </c>
      <c r="E56" s="6" t="s">
        <v>403</v>
      </c>
      <c r="F56" s="6" t="s">
        <v>433</v>
      </c>
      <c r="G56" s="6" t="s">
        <v>434</v>
      </c>
      <c r="H56" s="6" t="s">
        <v>435</v>
      </c>
      <c r="I56" s="6" t="s">
        <v>436</v>
      </c>
      <c r="J56" s="6" t="s">
        <v>437</v>
      </c>
      <c r="K56" s="6" t="s">
        <v>438</v>
      </c>
      <c r="L56" s="6" t="n">
        <v>8</v>
      </c>
      <c r="M56" s="6" t="s">
        <v>24</v>
      </c>
      <c r="N56" s="6"/>
    </row>
    <row r="57" customFormat="false" ht="22.35" hidden="false" customHeight="false" outlineLevel="0" collapsed="false">
      <c r="A57" s="8" t="n">
        <v>56</v>
      </c>
      <c r="B57" s="8" t="s">
        <v>16</v>
      </c>
      <c r="C57" s="8" t="s">
        <v>439</v>
      </c>
      <c r="D57" s="8" t="s">
        <v>159</v>
      </c>
      <c r="E57" s="8" t="s">
        <v>403</v>
      </c>
      <c r="F57" s="8" t="s">
        <v>440</v>
      </c>
      <c r="G57" s="8" t="s">
        <v>441</v>
      </c>
      <c r="H57" s="8" t="s">
        <v>442</v>
      </c>
      <c r="I57" s="8" t="s">
        <v>443</v>
      </c>
      <c r="J57" s="8" t="s">
        <v>444</v>
      </c>
      <c r="K57" s="8" t="s">
        <v>445</v>
      </c>
      <c r="L57" s="8" t="n">
        <v>9</v>
      </c>
      <c r="M57" s="8" t="s">
        <v>24</v>
      </c>
      <c r="N57" s="8"/>
    </row>
    <row r="58" customFormat="false" ht="32.8" hidden="false" customHeight="false" outlineLevel="0" collapsed="false">
      <c r="A58" s="6" t="n">
        <v>57</v>
      </c>
      <c r="B58" s="9" t="s">
        <v>446</v>
      </c>
      <c r="C58" s="6" t="s">
        <v>447</v>
      </c>
      <c r="D58" s="6" t="s">
        <v>16</v>
      </c>
      <c r="E58" s="6" t="s">
        <v>403</v>
      </c>
      <c r="F58" s="6" t="s">
        <v>448</v>
      </c>
      <c r="G58" s="6" t="s">
        <v>449</v>
      </c>
      <c r="H58" s="6" t="s">
        <v>450</v>
      </c>
      <c r="I58" s="6" t="s">
        <v>451</v>
      </c>
      <c r="J58" s="6" t="s">
        <v>452</v>
      </c>
      <c r="K58" s="6" t="s">
        <v>453</v>
      </c>
      <c r="L58" s="6" t="n">
        <v>10</v>
      </c>
      <c r="M58" s="6" t="s">
        <v>24</v>
      </c>
      <c r="N58" s="6"/>
    </row>
    <row r="59" customFormat="false" ht="32.8" hidden="false" customHeight="false" outlineLevel="0" collapsed="false">
      <c r="A59" s="8" t="n">
        <v>58</v>
      </c>
      <c r="B59" s="10" t="s">
        <v>454</v>
      </c>
      <c r="C59" s="8" t="s">
        <v>455</v>
      </c>
      <c r="D59" s="8" t="s">
        <v>16</v>
      </c>
      <c r="E59" s="8" t="s">
        <v>403</v>
      </c>
      <c r="F59" s="8" t="s">
        <v>456</v>
      </c>
      <c r="G59" s="8" t="s">
        <v>457</v>
      </c>
      <c r="H59" s="8" t="s">
        <v>458</v>
      </c>
      <c r="I59" s="8" t="s">
        <v>459</v>
      </c>
      <c r="J59" s="8" t="s">
        <v>460</v>
      </c>
      <c r="K59" s="8" t="s">
        <v>461</v>
      </c>
      <c r="L59" s="8" t="n">
        <v>10</v>
      </c>
      <c r="M59" s="8" t="s">
        <v>24</v>
      </c>
      <c r="N59" s="8"/>
    </row>
    <row r="60" customFormat="false" ht="22.35" hidden="false" customHeight="false" outlineLevel="0" collapsed="false">
      <c r="A60" s="6" t="n">
        <v>59</v>
      </c>
      <c r="B60" s="9" t="s">
        <v>462</v>
      </c>
      <c r="C60" s="6" t="s">
        <v>463</v>
      </c>
      <c r="D60" s="6" t="s">
        <v>132</v>
      </c>
      <c r="E60" s="6" t="s">
        <v>403</v>
      </c>
      <c r="F60" s="6" t="s">
        <v>464</v>
      </c>
      <c r="G60" s="6" t="s">
        <v>465</v>
      </c>
      <c r="H60" s="6" t="s">
        <v>466</v>
      </c>
      <c r="I60" s="6" t="s">
        <v>467</v>
      </c>
      <c r="J60" s="6" t="s">
        <v>468</v>
      </c>
      <c r="K60" s="6" t="s">
        <v>469</v>
      </c>
      <c r="L60" s="6" t="n">
        <v>10</v>
      </c>
      <c r="M60" s="6" t="s">
        <v>24</v>
      </c>
      <c r="N60" s="6"/>
    </row>
    <row r="61" customFormat="false" ht="22.35" hidden="false" customHeight="false" outlineLevel="0" collapsed="false">
      <c r="A61" s="8" t="n">
        <v>60</v>
      </c>
      <c r="B61" s="8" t="s">
        <v>16</v>
      </c>
      <c r="C61" s="8" t="s">
        <v>470</v>
      </c>
      <c r="D61" s="8" t="s">
        <v>16</v>
      </c>
      <c r="E61" s="8" t="s">
        <v>403</v>
      </c>
      <c r="F61" s="8" t="s">
        <v>471</v>
      </c>
      <c r="G61" s="8" t="s">
        <v>472</v>
      </c>
      <c r="H61" s="8" t="s">
        <v>473</v>
      </c>
      <c r="I61" s="8" t="s">
        <v>474</v>
      </c>
      <c r="J61" s="8" t="s">
        <v>475</v>
      </c>
      <c r="K61" s="8" t="s">
        <v>476</v>
      </c>
      <c r="L61" s="8" t="n">
        <v>10</v>
      </c>
      <c r="M61" s="8" t="s">
        <v>24</v>
      </c>
      <c r="N61" s="8"/>
    </row>
    <row r="62" customFormat="false" ht="22.35" hidden="false" customHeight="false" outlineLevel="0" collapsed="false">
      <c r="A62" s="6" t="n">
        <v>61</v>
      </c>
      <c r="B62" s="6" t="s">
        <v>16</v>
      </c>
      <c r="C62" s="6" t="s">
        <v>477</v>
      </c>
      <c r="D62" s="6" t="s">
        <v>16</v>
      </c>
      <c r="E62" s="6" t="s">
        <v>403</v>
      </c>
      <c r="F62" s="6" t="s">
        <v>478</v>
      </c>
      <c r="G62" s="6" t="s">
        <v>479</v>
      </c>
      <c r="H62" s="6" t="s">
        <v>480</v>
      </c>
      <c r="I62" s="6" t="s">
        <v>481</v>
      </c>
      <c r="J62" s="6" t="s">
        <v>482</v>
      </c>
      <c r="K62" s="6" t="s">
        <v>483</v>
      </c>
      <c r="L62" s="6" t="n">
        <v>8</v>
      </c>
      <c r="M62" s="6" t="s">
        <v>24</v>
      </c>
      <c r="N62" s="6"/>
    </row>
    <row r="63" customFormat="false" ht="22.35" hidden="false" customHeight="false" outlineLevel="0" collapsed="false">
      <c r="A63" s="8" t="n">
        <v>62</v>
      </c>
      <c r="B63" s="8" t="s">
        <v>16</v>
      </c>
      <c r="C63" s="8" t="s">
        <v>484</v>
      </c>
      <c r="D63" s="8" t="s">
        <v>16</v>
      </c>
      <c r="E63" s="8" t="s">
        <v>403</v>
      </c>
      <c r="F63" s="8" t="s">
        <v>485</v>
      </c>
      <c r="G63" s="8" t="s">
        <v>486</v>
      </c>
      <c r="H63" s="8" t="s">
        <v>487</v>
      </c>
      <c r="I63" s="8" t="s">
        <v>488</v>
      </c>
      <c r="J63" s="8" t="s">
        <v>489</v>
      </c>
      <c r="K63" s="8" t="s">
        <v>394</v>
      </c>
      <c r="L63" s="8" t="n">
        <v>9</v>
      </c>
      <c r="M63" s="8" t="s">
        <v>24</v>
      </c>
      <c r="N63" s="8"/>
    </row>
    <row r="64" customFormat="false" ht="22.35" hidden="false" customHeight="false" outlineLevel="0" collapsed="false">
      <c r="A64" s="6" t="n">
        <v>63</v>
      </c>
      <c r="B64" s="6" t="s">
        <v>16</v>
      </c>
      <c r="C64" s="6" t="s">
        <v>490</v>
      </c>
      <c r="D64" s="6" t="s">
        <v>159</v>
      </c>
      <c r="E64" s="6" t="s">
        <v>403</v>
      </c>
      <c r="F64" s="6" t="s">
        <v>491</v>
      </c>
      <c r="G64" s="6" t="s">
        <v>492</v>
      </c>
      <c r="H64" s="6" t="s">
        <v>493</v>
      </c>
      <c r="I64" s="6" t="s">
        <v>494</v>
      </c>
      <c r="J64" s="6" t="s">
        <v>495</v>
      </c>
      <c r="K64" s="6" t="s">
        <v>496</v>
      </c>
      <c r="L64" s="6" t="n">
        <v>8</v>
      </c>
      <c r="M64" s="6" t="s">
        <v>24</v>
      </c>
      <c r="N64" s="6"/>
    </row>
    <row r="65" customFormat="false" ht="22.35" hidden="false" customHeight="false" outlineLevel="0" collapsed="false">
      <c r="A65" s="8" t="n">
        <v>64</v>
      </c>
      <c r="B65" s="8" t="s">
        <v>16</v>
      </c>
      <c r="C65" s="8" t="s">
        <v>497</v>
      </c>
      <c r="D65" s="8" t="s">
        <v>16</v>
      </c>
      <c r="E65" s="8" t="s">
        <v>403</v>
      </c>
      <c r="F65" s="8" t="s">
        <v>498</v>
      </c>
      <c r="G65" s="8" t="s">
        <v>499</v>
      </c>
      <c r="H65" s="8" t="s">
        <v>500</v>
      </c>
      <c r="I65" s="8" t="s">
        <v>501</v>
      </c>
      <c r="J65" s="8" t="s">
        <v>502</v>
      </c>
      <c r="K65" s="8" t="s">
        <v>503</v>
      </c>
      <c r="L65" s="8" t="n">
        <v>9</v>
      </c>
      <c r="M65" s="8" t="s">
        <v>24</v>
      </c>
      <c r="N65" s="8"/>
    </row>
    <row r="66" customFormat="false" ht="22.35" hidden="false" customHeight="false" outlineLevel="0" collapsed="false">
      <c r="A66" s="6" t="n">
        <v>65</v>
      </c>
      <c r="B66" s="6" t="s">
        <v>16</v>
      </c>
      <c r="C66" s="6" t="s">
        <v>504</v>
      </c>
      <c r="D66" s="6" t="s">
        <v>159</v>
      </c>
      <c r="E66" s="6" t="s">
        <v>403</v>
      </c>
      <c r="F66" s="6" t="s">
        <v>505</v>
      </c>
      <c r="G66" s="6" t="s">
        <v>506</v>
      </c>
      <c r="H66" s="6" t="s">
        <v>507</v>
      </c>
      <c r="I66" s="6" t="s">
        <v>508</v>
      </c>
      <c r="J66" s="6" t="s">
        <v>509</v>
      </c>
      <c r="K66" s="6" t="s">
        <v>510</v>
      </c>
      <c r="L66" s="6" t="n">
        <v>9</v>
      </c>
      <c r="M66" s="6" t="s">
        <v>24</v>
      </c>
      <c r="N66" s="6"/>
    </row>
    <row r="67" customFormat="false" ht="22.35" hidden="false" customHeight="false" outlineLevel="0" collapsed="false">
      <c r="A67" s="8" t="n">
        <v>66</v>
      </c>
      <c r="B67" s="8" t="s">
        <v>16</v>
      </c>
      <c r="C67" s="8" t="s">
        <v>511</v>
      </c>
      <c r="D67" s="8" t="s">
        <v>16</v>
      </c>
      <c r="E67" s="8" t="s">
        <v>403</v>
      </c>
      <c r="F67" s="8" t="s">
        <v>512</v>
      </c>
      <c r="G67" s="8" t="s">
        <v>513</v>
      </c>
      <c r="H67" s="8" t="s">
        <v>514</v>
      </c>
      <c r="I67" s="8" t="s">
        <v>515</v>
      </c>
      <c r="J67" s="8" t="s">
        <v>516</v>
      </c>
      <c r="K67" s="8" t="s">
        <v>517</v>
      </c>
      <c r="L67" s="8" t="n">
        <v>9</v>
      </c>
      <c r="M67" s="8" t="s">
        <v>24</v>
      </c>
      <c r="N67" s="8" t="s">
        <v>417</v>
      </c>
    </row>
    <row r="68" customFormat="false" ht="22.35" hidden="false" customHeight="false" outlineLevel="0" collapsed="false">
      <c r="A68" s="6" t="n">
        <v>67</v>
      </c>
      <c r="B68" s="6" t="s">
        <v>16</v>
      </c>
      <c r="C68" s="6" t="s">
        <v>518</v>
      </c>
      <c r="D68" s="6" t="s">
        <v>159</v>
      </c>
      <c r="E68" s="6" t="s">
        <v>403</v>
      </c>
      <c r="F68" s="6" t="s">
        <v>519</v>
      </c>
      <c r="G68" s="6" t="s">
        <v>520</v>
      </c>
      <c r="H68" s="6" t="s">
        <v>521</v>
      </c>
      <c r="I68" s="6" t="s">
        <v>522</v>
      </c>
      <c r="J68" s="6" t="s">
        <v>523</v>
      </c>
      <c r="K68" s="6" t="s">
        <v>524</v>
      </c>
      <c r="L68" s="6" t="n">
        <v>8</v>
      </c>
      <c r="M68" s="6" t="s">
        <v>24</v>
      </c>
      <c r="N68" s="6"/>
    </row>
    <row r="69" customFormat="false" ht="22.35" hidden="false" customHeight="false" outlineLevel="0" collapsed="false">
      <c r="A69" s="8" t="n">
        <v>68</v>
      </c>
      <c r="B69" s="8" t="s">
        <v>16</v>
      </c>
      <c r="C69" s="8" t="s">
        <v>525</v>
      </c>
      <c r="D69" s="8" t="s">
        <v>159</v>
      </c>
      <c r="E69" s="8" t="s">
        <v>403</v>
      </c>
      <c r="F69" s="8" t="s">
        <v>526</v>
      </c>
      <c r="G69" s="8" t="s">
        <v>527</v>
      </c>
      <c r="H69" s="8" t="s">
        <v>528</v>
      </c>
      <c r="I69" s="8" t="s">
        <v>529</v>
      </c>
      <c r="J69" s="8" t="s">
        <v>530</v>
      </c>
      <c r="K69" s="8" t="s">
        <v>531</v>
      </c>
      <c r="L69" s="8" t="n">
        <v>9</v>
      </c>
      <c r="M69" s="8" t="s">
        <v>24</v>
      </c>
      <c r="N69" s="8"/>
    </row>
    <row r="70" customFormat="false" ht="22.35" hidden="false" customHeight="false" outlineLevel="0" collapsed="false">
      <c r="A70" s="6" t="n">
        <v>69</v>
      </c>
      <c r="B70" s="6" t="s">
        <v>16</v>
      </c>
      <c r="C70" s="6" t="s">
        <v>532</v>
      </c>
      <c r="D70" s="6" t="s">
        <v>16</v>
      </c>
      <c r="E70" s="6" t="s">
        <v>403</v>
      </c>
      <c r="F70" s="6" t="s">
        <v>533</v>
      </c>
      <c r="G70" s="6" t="s">
        <v>534</v>
      </c>
      <c r="H70" s="6" t="s">
        <v>535</v>
      </c>
      <c r="I70" s="6" t="s">
        <v>536</v>
      </c>
      <c r="J70" s="6" t="s">
        <v>537</v>
      </c>
      <c r="K70" s="6" t="s">
        <v>538</v>
      </c>
      <c r="L70" s="6" t="n">
        <v>8</v>
      </c>
      <c r="M70" s="6" t="s">
        <v>24</v>
      </c>
      <c r="N70" s="6" t="s">
        <v>417</v>
      </c>
    </row>
    <row r="71" customFormat="false" ht="22.35" hidden="false" customHeight="false" outlineLevel="0" collapsed="false">
      <c r="A71" s="8" t="n">
        <v>70</v>
      </c>
      <c r="B71" s="8" t="s">
        <v>16</v>
      </c>
      <c r="C71" s="8" t="s">
        <v>539</v>
      </c>
      <c r="D71" s="8" t="s">
        <v>16</v>
      </c>
      <c r="E71" s="8" t="s">
        <v>403</v>
      </c>
      <c r="F71" s="8" t="s">
        <v>540</v>
      </c>
      <c r="G71" s="8" t="s">
        <v>541</v>
      </c>
      <c r="H71" s="8" t="s">
        <v>542</v>
      </c>
      <c r="I71" s="8" t="s">
        <v>543</v>
      </c>
      <c r="J71" s="8" t="s">
        <v>544</v>
      </c>
      <c r="K71" s="8" t="s">
        <v>545</v>
      </c>
      <c r="L71" s="8" t="n">
        <v>10</v>
      </c>
      <c r="M71" s="8" t="s">
        <v>24</v>
      </c>
      <c r="N71" s="8"/>
    </row>
    <row r="72" customFormat="false" ht="22.35" hidden="false" customHeight="false" outlineLevel="0" collapsed="false">
      <c r="A72" s="6" t="n">
        <v>71</v>
      </c>
      <c r="B72" s="6" t="s">
        <v>16</v>
      </c>
      <c r="C72" s="6" t="s">
        <v>546</v>
      </c>
      <c r="D72" s="6" t="s">
        <v>159</v>
      </c>
      <c r="E72" s="6" t="s">
        <v>547</v>
      </c>
      <c r="F72" s="6" t="s">
        <v>548</v>
      </c>
      <c r="G72" s="6" t="s">
        <v>549</v>
      </c>
      <c r="H72" s="6" t="s">
        <v>550</v>
      </c>
      <c r="I72" s="6" t="s">
        <v>551</v>
      </c>
      <c r="J72" s="6" t="s">
        <v>552</v>
      </c>
      <c r="K72" s="6" t="s">
        <v>553</v>
      </c>
      <c r="L72" s="6" t="n">
        <v>8</v>
      </c>
      <c r="M72" s="6" t="s">
        <v>24</v>
      </c>
      <c r="N72" s="6" t="s">
        <v>417</v>
      </c>
    </row>
    <row r="73" customFormat="false" ht="22.35" hidden="false" customHeight="false" outlineLevel="0" collapsed="false">
      <c r="A73" s="8" t="n">
        <v>72</v>
      </c>
      <c r="B73" s="8" t="s">
        <v>16</v>
      </c>
      <c r="C73" s="8" t="s">
        <v>554</v>
      </c>
      <c r="D73" s="8" t="s">
        <v>159</v>
      </c>
      <c r="E73" s="8" t="s">
        <v>547</v>
      </c>
      <c r="F73" s="8" t="s">
        <v>555</v>
      </c>
      <c r="G73" s="8" t="s">
        <v>556</v>
      </c>
      <c r="H73" s="8" t="s">
        <v>557</v>
      </c>
      <c r="I73" s="8" t="s">
        <v>558</v>
      </c>
      <c r="J73" s="8" t="s">
        <v>559</v>
      </c>
      <c r="K73" s="8" t="s">
        <v>560</v>
      </c>
      <c r="L73" s="8" t="n">
        <v>9</v>
      </c>
      <c r="M73" s="8" t="s">
        <v>24</v>
      </c>
      <c r="N73" s="8" t="s">
        <v>417</v>
      </c>
    </row>
    <row r="74" customFormat="false" ht="22.35" hidden="false" customHeight="false" outlineLevel="0" collapsed="false">
      <c r="A74" s="6" t="n">
        <v>73</v>
      </c>
      <c r="B74" s="6" t="s">
        <v>16</v>
      </c>
      <c r="C74" s="6" t="s">
        <v>561</v>
      </c>
      <c r="D74" s="6" t="s">
        <v>159</v>
      </c>
      <c r="E74" s="6" t="s">
        <v>547</v>
      </c>
      <c r="F74" s="6" t="s">
        <v>562</v>
      </c>
      <c r="G74" s="6" t="s">
        <v>563</v>
      </c>
      <c r="H74" s="6" t="s">
        <v>564</v>
      </c>
      <c r="I74" s="6" t="s">
        <v>565</v>
      </c>
      <c r="J74" s="6" t="s">
        <v>566</v>
      </c>
      <c r="K74" s="6" t="s">
        <v>567</v>
      </c>
      <c r="L74" s="6" t="n">
        <v>9</v>
      </c>
      <c r="M74" s="6" t="s">
        <v>24</v>
      </c>
      <c r="N74" s="6" t="s">
        <v>417</v>
      </c>
    </row>
    <row r="75" customFormat="false" ht="22.35" hidden="false" customHeight="false" outlineLevel="0" collapsed="false">
      <c r="A75" s="8" t="n">
        <v>74</v>
      </c>
      <c r="B75" s="8" t="s">
        <v>16</v>
      </c>
      <c r="C75" s="8" t="s">
        <v>568</v>
      </c>
      <c r="D75" s="8" t="s">
        <v>16</v>
      </c>
      <c r="E75" s="8" t="s">
        <v>547</v>
      </c>
      <c r="F75" s="8" t="s">
        <v>569</v>
      </c>
      <c r="G75" s="8" t="s">
        <v>570</v>
      </c>
      <c r="H75" s="8" t="s">
        <v>571</v>
      </c>
      <c r="I75" s="8" t="s">
        <v>572</v>
      </c>
      <c r="J75" s="8" t="s">
        <v>573</v>
      </c>
      <c r="K75" s="8" t="s">
        <v>574</v>
      </c>
      <c r="L75" s="8" t="n">
        <v>9</v>
      </c>
      <c r="M75" s="8" t="s">
        <v>24</v>
      </c>
      <c r="N75" s="8" t="s">
        <v>417</v>
      </c>
    </row>
    <row r="76" customFormat="false" ht="22.35" hidden="false" customHeight="false" outlineLevel="0" collapsed="false">
      <c r="A76" s="6" t="n">
        <v>75</v>
      </c>
      <c r="B76" s="6" t="s">
        <v>16</v>
      </c>
      <c r="C76" s="6" t="s">
        <v>575</v>
      </c>
      <c r="D76" s="6" t="s">
        <v>16</v>
      </c>
      <c r="E76" s="6" t="s">
        <v>547</v>
      </c>
      <c r="F76" s="6" t="s">
        <v>576</v>
      </c>
      <c r="G76" s="6" t="s">
        <v>577</v>
      </c>
      <c r="H76" s="6" t="s">
        <v>578</v>
      </c>
      <c r="I76" s="6" t="s">
        <v>579</v>
      </c>
      <c r="J76" s="6" t="s">
        <v>580</v>
      </c>
      <c r="K76" s="6" t="s">
        <v>292</v>
      </c>
      <c r="L76" s="6" t="n">
        <v>8</v>
      </c>
      <c r="M76" s="6" t="s">
        <v>24</v>
      </c>
      <c r="N76" s="6" t="s">
        <v>417</v>
      </c>
    </row>
    <row r="77" customFormat="false" ht="22.35" hidden="false" customHeight="false" outlineLevel="0" collapsed="false">
      <c r="A77" s="8" t="n">
        <v>76</v>
      </c>
      <c r="B77" s="8" t="s">
        <v>16</v>
      </c>
      <c r="C77" s="8" t="s">
        <v>581</v>
      </c>
      <c r="D77" s="8" t="s">
        <v>159</v>
      </c>
      <c r="E77" s="8" t="s">
        <v>547</v>
      </c>
      <c r="F77" s="8" t="s">
        <v>582</v>
      </c>
      <c r="G77" s="8" t="s">
        <v>583</v>
      </c>
      <c r="H77" s="8" t="s">
        <v>584</v>
      </c>
      <c r="I77" s="8" t="s">
        <v>585</v>
      </c>
      <c r="J77" s="8" t="s">
        <v>586</v>
      </c>
      <c r="K77" s="8" t="s">
        <v>587</v>
      </c>
      <c r="L77" s="8" t="n">
        <v>8</v>
      </c>
      <c r="M77" s="8" t="s">
        <v>24</v>
      </c>
      <c r="N77" s="8" t="s">
        <v>417</v>
      </c>
    </row>
    <row r="78" customFormat="false" ht="22.35" hidden="false" customHeight="false" outlineLevel="0" collapsed="false">
      <c r="A78" s="6" t="n">
        <v>77</v>
      </c>
      <c r="B78" s="6" t="s">
        <v>16</v>
      </c>
      <c r="C78" s="6" t="s">
        <v>588</v>
      </c>
      <c r="D78" s="6" t="s">
        <v>159</v>
      </c>
      <c r="E78" s="6" t="s">
        <v>547</v>
      </c>
      <c r="F78" s="6" t="s">
        <v>589</v>
      </c>
      <c r="G78" s="6" t="s">
        <v>590</v>
      </c>
      <c r="H78" s="6" t="s">
        <v>591</v>
      </c>
      <c r="I78" s="6" t="s">
        <v>592</v>
      </c>
      <c r="J78" s="6" t="s">
        <v>593</v>
      </c>
      <c r="K78" s="6" t="s">
        <v>41</v>
      </c>
      <c r="L78" s="6" t="n">
        <v>9</v>
      </c>
      <c r="M78" s="6" t="s">
        <v>24</v>
      </c>
      <c r="N78" s="6" t="s">
        <v>417</v>
      </c>
    </row>
    <row r="79" customFormat="false" ht="22.35" hidden="false" customHeight="false" outlineLevel="0" collapsed="false">
      <c r="A79" s="8" t="n">
        <v>78</v>
      </c>
      <c r="B79" s="8" t="s">
        <v>16</v>
      </c>
      <c r="C79" s="8" t="s">
        <v>594</v>
      </c>
      <c r="D79" s="8" t="s">
        <v>71</v>
      </c>
      <c r="E79" s="8" t="s">
        <v>547</v>
      </c>
      <c r="F79" s="8" t="s">
        <v>595</v>
      </c>
      <c r="G79" s="8" t="s">
        <v>596</v>
      </c>
      <c r="H79" s="8" t="s">
        <v>597</v>
      </c>
      <c r="I79" s="8" t="s">
        <v>598</v>
      </c>
      <c r="J79" s="8" t="s">
        <v>599</v>
      </c>
      <c r="K79" s="8" t="s">
        <v>600</v>
      </c>
      <c r="L79" s="8" t="n">
        <v>9</v>
      </c>
      <c r="M79" s="8" t="s">
        <v>24</v>
      </c>
      <c r="N79" s="8" t="s">
        <v>417</v>
      </c>
    </row>
    <row r="80" customFormat="false" ht="22.35" hidden="false" customHeight="false" outlineLevel="0" collapsed="false">
      <c r="A80" s="6" t="n">
        <v>79</v>
      </c>
      <c r="B80" s="6" t="s">
        <v>16</v>
      </c>
      <c r="C80" s="6" t="s">
        <v>601</v>
      </c>
      <c r="D80" s="6" t="s">
        <v>159</v>
      </c>
      <c r="E80" s="6" t="s">
        <v>547</v>
      </c>
      <c r="F80" s="6" t="s">
        <v>602</v>
      </c>
      <c r="G80" s="6" t="s">
        <v>603</v>
      </c>
      <c r="H80" s="6" t="s">
        <v>604</v>
      </c>
      <c r="I80" s="6" t="s">
        <v>605</v>
      </c>
      <c r="J80" s="6" t="s">
        <v>606</v>
      </c>
      <c r="K80" s="6" t="s">
        <v>607</v>
      </c>
      <c r="L80" s="6" t="n">
        <v>9</v>
      </c>
      <c r="M80" s="6" t="s">
        <v>24</v>
      </c>
      <c r="N80" s="6" t="s">
        <v>417</v>
      </c>
    </row>
    <row r="81" customFormat="false" ht="22.35" hidden="false" customHeight="false" outlineLevel="0" collapsed="false">
      <c r="A81" s="8" t="n">
        <v>80</v>
      </c>
      <c r="B81" s="8" t="s">
        <v>16</v>
      </c>
      <c r="C81" s="8" t="s">
        <v>608</v>
      </c>
      <c r="D81" s="8" t="s">
        <v>16</v>
      </c>
      <c r="E81" s="8" t="s">
        <v>547</v>
      </c>
      <c r="F81" s="8" t="s">
        <v>609</v>
      </c>
      <c r="G81" s="8" t="s">
        <v>610</v>
      </c>
      <c r="H81" s="8" t="s">
        <v>611</v>
      </c>
      <c r="I81" s="8" t="s">
        <v>612</v>
      </c>
      <c r="J81" s="8" t="s">
        <v>613</v>
      </c>
      <c r="K81" s="8" t="s">
        <v>614</v>
      </c>
      <c r="L81" s="8" t="n">
        <v>10</v>
      </c>
      <c r="M81" s="8" t="s">
        <v>24</v>
      </c>
      <c r="N81" s="8" t="s">
        <v>417</v>
      </c>
    </row>
    <row r="82" customFormat="false" ht="22.35" hidden="false" customHeight="false" outlineLevel="0" collapsed="false">
      <c r="A82" s="6" t="n">
        <v>81</v>
      </c>
      <c r="B82" s="6" t="s">
        <v>16</v>
      </c>
      <c r="C82" s="6" t="s">
        <v>615</v>
      </c>
      <c r="D82" s="6" t="s">
        <v>16</v>
      </c>
      <c r="E82" s="6" t="s">
        <v>547</v>
      </c>
      <c r="F82" s="6" t="s">
        <v>616</v>
      </c>
      <c r="G82" s="6" t="s">
        <v>617</v>
      </c>
      <c r="H82" s="6" t="s">
        <v>618</v>
      </c>
      <c r="I82" s="6" t="s">
        <v>619</v>
      </c>
      <c r="J82" s="6" t="s">
        <v>620</v>
      </c>
      <c r="K82" s="6" t="s">
        <v>394</v>
      </c>
      <c r="L82" s="6" t="n">
        <v>8</v>
      </c>
      <c r="M82" s="6" t="s">
        <v>24</v>
      </c>
      <c r="N82" s="6" t="s">
        <v>417</v>
      </c>
    </row>
    <row r="83" customFormat="false" ht="22.35" hidden="false" customHeight="false" outlineLevel="0" collapsed="false">
      <c r="A83" s="8" t="n">
        <v>82</v>
      </c>
      <c r="B83" s="8" t="s">
        <v>16</v>
      </c>
      <c r="C83" s="8" t="s">
        <v>621</v>
      </c>
      <c r="D83" s="8" t="s">
        <v>159</v>
      </c>
      <c r="E83" s="8" t="s">
        <v>547</v>
      </c>
      <c r="F83" s="8" t="s">
        <v>622</v>
      </c>
      <c r="G83" s="8" t="s">
        <v>623</v>
      </c>
      <c r="H83" s="8" t="s">
        <v>624</v>
      </c>
      <c r="I83" s="8" t="s">
        <v>625</v>
      </c>
      <c r="J83" s="8" t="s">
        <v>626</v>
      </c>
      <c r="K83" s="8" t="s">
        <v>627</v>
      </c>
      <c r="L83" s="8" t="n">
        <v>10</v>
      </c>
      <c r="M83" s="8" t="s">
        <v>24</v>
      </c>
      <c r="N83" s="8" t="s">
        <v>417</v>
      </c>
    </row>
    <row r="84" customFormat="false" ht="22.35" hidden="false" customHeight="false" outlineLevel="0" collapsed="false">
      <c r="A84" s="6" t="n">
        <v>83</v>
      </c>
      <c r="B84" s="6" t="s">
        <v>16</v>
      </c>
      <c r="C84" s="6" t="s">
        <v>628</v>
      </c>
      <c r="D84" s="6" t="s">
        <v>71</v>
      </c>
      <c r="E84" s="6" t="s">
        <v>547</v>
      </c>
      <c r="F84" s="6" t="s">
        <v>629</v>
      </c>
      <c r="G84" s="6" t="s">
        <v>630</v>
      </c>
      <c r="H84" s="6" t="s">
        <v>631</v>
      </c>
      <c r="I84" s="6" t="s">
        <v>632</v>
      </c>
      <c r="J84" s="6" t="s">
        <v>633</v>
      </c>
      <c r="K84" s="6" t="s">
        <v>249</v>
      </c>
      <c r="L84" s="6" t="n">
        <v>9</v>
      </c>
      <c r="M84" s="6" t="s">
        <v>24</v>
      </c>
      <c r="N84" s="6" t="s">
        <v>417</v>
      </c>
    </row>
    <row r="85" customFormat="false" ht="22.35" hidden="false" customHeight="false" outlineLevel="0" collapsed="false">
      <c r="A85" s="8" t="n">
        <v>84</v>
      </c>
      <c r="B85" s="8" t="s">
        <v>16</v>
      </c>
      <c r="C85" s="8" t="s">
        <v>634</v>
      </c>
      <c r="D85" s="8" t="s">
        <v>16</v>
      </c>
      <c r="E85" s="8" t="s">
        <v>547</v>
      </c>
      <c r="F85" s="8" t="s">
        <v>635</v>
      </c>
      <c r="G85" s="8" t="s">
        <v>636</v>
      </c>
      <c r="H85" s="8" t="s">
        <v>637</v>
      </c>
      <c r="I85" s="8" t="s">
        <v>638</v>
      </c>
      <c r="J85" s="8" t="s">
        <v>639</v>
      </c>
      <c r="K85" s="8" t="s">
        <v>640</v>
      </c>
      <c r="L85" s="8" t="n">
        <v>8</v>
      </c>
      <c r="M85" s="8" t="s">
        <v>24</v>
      </c>
      <c r="N85" s="8" t="s">
        <v>417</v>
      </c>
    </row>
    <row r="86" customFormat="false" ht="22.35" hidden="false" customHeight="false" outlineLevel="0" collapsed="false">
      <c r="A86" s="6" t="n">
        <v>85</v>
      </c>
      <c r="B86" s="6" t="s">
        <v>16</v>
      </c>
      <c r="C86" s="6" t="s">
        <v>641</v>
      </c>
      <c r="D86" s="6" t="s">
        <v>16</v>
      </c>
      <c r="E86" s="6" t="s">
        <v>547</v>
      </c>
      <c r="F86" s="6" t="s">
        <v>642</v>
      </c>
      <c r="G86" s="6" t="s">
        <v>643</v>
      </c>
      <c r="H86" s="6" t="s">
        <v>644</v>
      </c>
      <c r="I86" s="6" t="s">
        <v>645</v>
      </c>
      <c r="J86" s="6" t="s">
        <v>646</v>
      </c>
      <c r="K86" s="6" t="s">
        <v>647</v>
      </c>
      <c r="L86" s="6" t="n">
        <v>10</v>
      </c>
      <c r="M86" s="6" t="s">
        <v>24</v>
      </c>
      <c r="N86" s="6" t="s">
        <v>417</v>
      </c>
    </row>
    <row r="87" customFormat="false" ht="22.35" hidden="false" customHeight="false" outlineLevel="0" collapsed="false">
      <c r="A87" s="8" t="n">
        <v>86</v>
      </c>
      <c r="B87" s="8" t="s">
        <v>16</v>
      </c>
      <c r="C87" s="8" t="s">
        <v>648</v>
      </c>
      <c r="D87" s="8" t="s">
        <v>159</v>
      </c>
      <c r="E87" s="8" t="s">
        <v>649</v>
      </c>
      <c r="F87" s="8" t="s">
        <v>650</v>
      </c>
      <c r="G87" s="8" t="s">
        <v>651</v>
      </c>
      <c r="H87" s="8" t="s">
        <v>652</v>
      </c>
      <c r="I87" s="8" t="s">
        <v>653</v>
      </c>
      <c r="J87" s="8" t="s">
        <v>654</v>
      </c>
      <c r="K87" s="8" t="s">
        <v>655</v>
      </c>
      <c r="L87" s="8" t="n">
        <v>9</v>
      </c>
      <c r="M87" s="8" t="s">
        <v>24</v>
      </c>
      <c r="N87" s="8" t="s">
        <v>417</v>
      </c>
    </row>
    <row r="88" customFormat="false" ht="22.35" hidden="false" customHeight="false" outlineLevel="0" collapsed="false">
      <c r="A88" s="6" t="n">
        <v>87</v>
      </c>
      <c r="B88" s="6" t="s">
        <v>16</v>
      </c>
      <c r="C88" s="6" t="s">
        <v>656</v>
      </c>
      <c r="D88" s="6" t="s">
        <v>159</v>
      </c>
      <c r="E88" s="6" t="s">
        <v>649</v>
      </c>
      <c r="F88" s="6" t="s">
        <v>657</v>
      </c>
      <c r="G88" s="6" t="s">
        <v>658</v>
      </c>
      <c r="H88" s="6" t="s">
        <v>659</v>
      </c>
      <c r="I88" s="6" t="s">
        <v>660</v>
      </c>
      <c r="J88" s="6" t="s">
        <v>661</v>
      </c>
      <c r="K88" s="6" t="s">
        <v>662</v>
      </c>
      <c r="L88" s="6" t="n">
        <v>9</v>
      </c>
      <c r="M88" s="6" t="s">
        <v>24</v>
      </c>
      <c r="N88" s="6" t="s">
        <v>417</v>
      </c>
    </row>
    <row r="89" customFormat="false" ht="22.35" hidden="false" customHeight="false" outlineLevel="0" collapsed="false">
      <c r="A89" s="8" t="n">
        <v>88</v>
      </c>
      <c r="B89" s="10" t="s">
        <v>663</v>
      </c>
      <c r="C89" s="8" t="s">
        <v>664</v>
      </c>
      <c r="D89" s="8" t="s">
        <v>665</v>
      </c>
      <c r="E89" s="8" t="s">
        <v>649</v>
      </c>
      <c r="F89" s="8" t="s">
        <v>666</v>
      </c>
      <c r="G89" s="8" t="s">
        <v>667</v>
      </c>
      <c r="H89" s="8" t="s">
        <v>668</v>
      </c>
      <c r="I89" s="8" t="s">
        <v>669</v>
      </c>
      <c r="J89" s="8" t="s">
        <v>670</v>
      </c>
      <c r="K89" s="8" t="s">
        <v>671</v>
      </c>
      <c r="L89" s="8" t="n">
        <v>10</v>
      </c>
      <c r="M89" s="8" t="s">
        <v>24</v>
      </c>
      <c r="N89" s="8" t="s">
        <v>417</v>
      </c>
    </row>
    <row r="90" customFormat="false" ht="22.35" hidden="false" customHeight="false" outlineLevel="0" collapsed="false">
      <c r="A90" s="6" t="n">
        <v>89</v>
      </c>
      <c r="B90" s="6" t="s">
        <v>16</v>
      </c>
      <c r="C90" s="6" t="s">
        <v>672</v>
      </c>
      <c r="D90" s="6" t="s">
        <v>159</v>
      </c>
      <c r="E90" s="6" t="s">
        <v>649</v>
      </c>
      <c r="F90" s="6" t="s">
        <v>673</v>
      </c>
      <c r="G90" s="6" t="s">
        <v>674</v>
      </c>
      <c r="H90" s="6" t="s">
        <v>675</v>
      </c>
      <c r="I90" s="6" t="s">
        <v>676</v>
      </c>
      <c r="J90" s="6" t="s">
        <v>677</v>
      </c>
      <c r="K90" s="6" t="s">
        <v>678</v>
      </c>
      <c r="L90" s="6" t="n">
        <v>9</v>
      </c>
      <c r="M90" s="6" t="s">
        <v>24</v>
      </c>
      <c r="N90" s="6" t="s">
        <v>417</v>
      </c>
    </row>
    <row r="91" customFormat="false" ht="22.35" hidden="false" customHeight="false" outlineLevel="0" collapsed="false">
      <c r="A91" s="8" t="n">
        <v>90</v>
      </c>
      <c r="B91" s="8" t="s">
        <v>16</v>
      </c>
      <c r="C91" s="8" t="s">
        <v>679</v>
      </c>
      <c r="D91" s="8" t="s">
        <v>159</v>
      </c>
      <c r="E91" s="8" t="s">
        <v>649</v>
      </c>
      <c r="F91" s="8" t="s">
        <v>680</v>
      </c>
      <c r="G91" s="8" t="s">
        <v>681</v>
      </c>
      <c r="H91" s="8" t="s">
        <v>682</v>
      </c>
      <c r="I91" s="8" t="s">
        <v>683</v>
      </c>
      <c r="J91" s="8" t="s">
        <v>684</v>
      </c>
      <c r="K91" s="8" t="s">
        <v>685</v>
      </c>
      <c r="L91" s="8" t="n">
        <v>9</v>
      </c>
      <c r="M91" s="8" t="s">
        <v>24</v>
      </c>
      <c r="N91" s="8" t="s">
        <v>417</v>
      </c>
    </row>
    <row r="92" customFormat="false" ht="22.35" hidden="false" customHeight="false" outlineLevel="0" collapsed="false">
      <c r="A92" s="6" t="n">
        <v>91</v>
      </c>
      <c r="B92" s="9" t="s">
        <v>686</v>
      </c>
      <c r="C92" s="6" t="s">
        <v>687</v>
      </c>
      <c r="D92" s="6" t="s">
        <v>688</v>
      </c>
      <c r="E92" s="6" t="s">
        <v>649</v>
      </c>
      <c r="F92" s="6" t="s">
        <v>689</v>
      </c>
      <c r="G92" s="6" t="s">
        <v>690</v>
      </c>
      <c r="H92" s="6" t="s">
        <v>691</v>
      </c>
      <c r="I92" s="6" t="s">
        <v>692</v>
      </c>
      <c r="J92" s="6" t="s">
        <v>693</v>
      </c>
      <c r="K92" s="6" t="s">
        <v>694</v>
      </c>
      <c r="L92" s="6" t="n">
        <v>10</v>
      </c>
      <c r="M92" s="6" t="s">
        <v>24</v>
      </c>
      <c r="N92" s="6" t="s">
        <v>417</v>
      </c>
    </row>
    <row r="93" customFormat="false" ht="22.35" hidden="false" customHeight="false" outlineLevel="0" collapsed="false">
      <c r="A93" s="8" t="n">
        <v>92</v>
      </c>
      <c r="B93" s="8" t="s">
        <v>16</v>
      </c>
      <c r="C93" s="8" t="s">
        <v>695</v>
      </c>
      <c r="D93" s="8" t="s">
        <v>159</v>
      </c>
      <c r="E93" s="8" t="s">
        <v>649</v>
      </c>
      <c r="F93" s="8" t="s">
        <v>696</v>
      </c>
      <c r="G93" s="8" t="s">
        <v>697</v>
      </c>
      <c r="H93" s="8" t="s">
        <v>698</v>
      </c>
      <c r="I93" s="8" t="s">
        <v>699</v>
      </c>
      <c r="J93" s="8" t="s">
        <v>700</v>
      </c>
      <c r="K93" s="8" t="s">
        <v>701</v>
      </c>
      <c r="L93" s="8" t="n">
        <v>10</v>
      </c>
      <c r="M93" s="8" t="s">
        <v>24</v>
      </c>
      <c r="N93" s="8" t="s">
        <v>417</v>
      </c>
    </row>
    <row r="94" customFormat="false" ht="22.35" hidden="false" customHeight="false" outlineLevel="0" collapsed="false">
      <c r="A94" s="6" t="n">
        <v>93</v>
      </c>
      <c r="B94" s="6" t="s">
        <v>16</v>
      </c>
      <c r="C94" s="6" t="s">
        <v>702</v>
      </c>
      <c r="D94" s="6" t="s">
        <v>159</v>
      </c>
      <c r="E94" s="6" t="s">
        <v>649</v>
      </c>
      <c r="F94" s="6" t="s">
        <v>703</v>
      </c>
      <c r="G94" s="6" t="s">
        <v>704</v>
      </c>
      <c r="H94" s="6" t="s">
        <v>705</v>
      </c>
      <c r="I94" s="6" t="s">
        <v>706</v>
      </c>
      <c r="J94" s="6" t="s">
        <v>707</v>
      </c>
      <c r="K94" s="6" t="s">
        <v>708</v>
      </c>
      <c r="L94" s="6" t="n">
        <v>9</v>
      </c>
      <c r="M94" s="6" t="s">
        <v>24</v>
      </c>
      <c r="N94" s="6" t="s">
        <v>417</v>
      </c>
    </row>
    <row r="95" customFormat="false" ht="22.35" hidden="false" customHeight="false" outlineLevel="0" collapsed="false">
      <c r="A95" s="8" t="n">
        <v>94</v>
      </c>
      <c r="B95" s="8" t="s">
        <v>16</v>
      </c>
      <c r="C95" s="8" t="s">
        <v>709</v>
      </c>
      <c r="D95" s="8" t="s">
        <v>159</v>
      </c>
      <c r="E95" s="8" t="s">
        <v>649</v>
      </c>
      <c r="F95" s="8" t="s">
        <v>710</v>
      </c>
      <c r="G95" s="8" t="s">
        <v>711</v>
      </c>
      <c r="H95" s="8" t="s">
        <v>712</v>
      </c>
      <c r="I95" s="8" t="s">
        <v>713</v>
      </c>
      <c r="J95" s="8" t="s">
        <v>714</v>
      </c>
      <c r="K95" s="8" t="s">
        <v>715</v>
      </c>
      <c r="L95" s="8" t="n">
        <v>8</v>
      </c>
      <c r="M95" s="8" t="s">
        <v>24</v>
      </c>
      <c r="N95" s="8" t="s">
        <v>417</v>
      </c>
    </row>
    <row r="96" customFormat="false" ht="22.35" hidden="false" customHeight="false" outlineLevel="0" collapsed="false">
      <c r="A96" s="6" t="n">
        <v>95</v>
      </c>
      <c r="B96" s="9" t="s">
        <v>716</v>
      </c>
      <c r="C96" s="6" t="s">
        <v>717</v>
      </c>
      <c r="D96" s="6" t="s">
        <v>718</v>
      </c>
      <c r="E96" s="6" t="s">
        <v>649</v>
      </c>
      <c r="F96" s="6" t="s">
        <v>719</v>
      </c>
      <c r="G96" s="6" t="s">
        <v>720</v>
      </c>
      <c r="H96" s="6" t="s">
        <v>721</v>
      </c>
      <c r="I96" s="6" t="s">
        <v>722</v>
      </c>
      <c r="J96" s="6" t="s">
        <v>723</v>
      </c>
      <c r="K96" s="6" t="s">
        <v>724</v>
      </c>
      <c r="L96" s="6" t="n">
        <v>10</v>
      </c>
      <c r="M96" s="6" t="s">
        <v>24</v>
      </c>
      <c r="N96" s="6" t="s">
        <v>417</v>
      </c>
    </row>
    <row r="97" customFormat="false" ht="22.35" hidden="false" customHeight="false" outlineLevel="0" collapsed="false">
      <c r="A97" s="8" t="n">
        <v>96</v>
      </c>
      <c r="B97" s="8" t="s">
        <v>16</v>
      </c>
      <c r="C97" s="8" t="s">
        <v>725</v>
      </c>
      <c r="D97" s="8" t="s">
        <v>16</v>
      </c>
      <c r="E97" s="8" t="s">
        <v>649</v>
      </c>
      <c r="F97" s="8" t="s">
        <v>726</v>
      </c>
      <c r="G97" s="8" t="s">
        <v>727</v>
      </c>
      <c r="H97" s="8" t="s">
        <v>728</v>
      </c>
      <c r="I97" s="8" t="s">
        <v>729</v>
      </c>
      <c r="J97" s="8" t="s">
        <v>730</v>
      </c>
      <c r="K97" s="8" t="s">
        <v>731</v>
      </c>
      <c r="L97" s="8" t="n">
        <v>9</v>
      </c>
      <c r="M97" s="8" t="s">
        <v>24</v>
      </c>
      <c r="N97" s="8" t="s">
        <v>417</v>
      </c>
    </row>
    <row r="98" customFormat="false" ht="22.35" hidden="false" customHeight="false" outlineLevel="0" collapsed="false">
      <c r="A98" s="6" t="n">
        <v>97</v>
      </c>
      <c r="B98" s="9" t="s">
        <v>732</v>
      </c>
      <c r="C98" s="6" t="s">
        <v>733</v>
      </c>
      <c r="D98" s="6" t="s">
        <v>132</v>
      </c>
      <c r="E98" s="6" t="s">
        <v>649</v>
      </c>
      <c r="F98" s="6" t="s">
        <v>734</v>
      </c>
      <c r="G98" s="6" t="s">
        <v>735</v>
      </c>
      <c r="H98" s="6" t="s">
        <v>736</v>
      </c>
      <c r="I98" s="6" t="s">
        <v>737</v>
      </c>
      <c r="J98" s="6" t="s">
        <v>738</v>
      </c>
      <c r="K98" s="6" t="s">
        <v>739</v>
      </c>
      <c r="L98" s="6" t="n">
        <v>10</v>
      </c>
      <c r="M98" s="6" t="s">
        <v>24</v>
      </c>
      <c r="N98" s="6" t="s">
        <v>417</v>
      </c>
    </row>
    <row r="99" customFormat="false" ht="22.35" hidden="false" customHeight="false" outlineLevel="0" collapsed="false">
      <c r="A99" s="8" t="n">
        <v>98</v>
      </c>
      <c r="B99" s="8" t="s">
        <v>16</v>
      </c>
      <c r="C99" s="8" t="s">
        <v>740</v>
      </c>
      <c r="D99" s="8" t="s">
        <v>16</v>
      </c>
      <c r="E99" s="8" t="s">
        <v>649</v>
      </c>
      <c r="F99" s="8" t="s">
        <v>741</v>
      </c>
      <c r="G99" s="8" t="s">
        <v>742</v>
      </c>
      <c r="H99" s="8" t="s">
        <v>743</v>
      </c>
      <c r="I99" s="8" t="s">
        <v>744</v>
      </c>
      <c r="J99" s="8" t="s">
        <v>745</v>
      </c>
      <c r="K99" s="8" t="s">
        <v>746</v>
      </c>
      <c r="L99" s="8" t="n">
        <v>9</v>
      </c>
      <c r="M99" s="8" t="s">
        <v>24</v>
      </c>
      <c r="N99" s="8" t="s">
        <v>417</v>
      </c>
    </row>
    <row r="100" customFormat="false" ht="22.35" hidden="false" customHeight="false" outlineLevel="0" collapsed="false">
      <c r="A100" s="6" t="n">
        <v>99</v>
      </c>
      <c r="B100" s="6" t="s">
        <v>16</v>
      </c>
      <c r="C100" s="6" t="s">
        <v>747</v>
      </c>
      <c r="D100" s="6" t="s">
        <v>16</v>
      </c>
      <c r="E100" s="6" t="s">
        <v>649</v>
      </c>
      <c r="F100" s="6" t="s">
        <v>748</v>
      </c>
      <c r="G100" s="6" t="s">
        <v>749</v>
      </c>
      <c r="H100" s="6" t="s">
        <v>750</v>
      </c>
      <c r="I100" s="6" t="s">
        <v>751</v>
      </c>
      <c r="J100" s="6" t="s">
        <v>752</v>
      </c>
      <c r="K100" s="6" t="s">
        <v>753</v>
      </c>
      <c r="L100" s="6" t="n">
        <v>8</v>
      </c>
      <c r="M100" s="6" t="s">
        <v>24</v>
      </c>
      <c r="N100" s="6" t="s">
        <v>417</v>
      </c>
    </row>
    <row r="101" customFormat="false" ht="22.35" hidden="false" customHeight="false" outlineLevel="0" collapsed="false">
      <c r="A101" s="8" t="n">
        <v>100</v>
      </c>
      <c r="B101" s="8" t="s">
        <v>16</v>
      </c>
      <c r="C101" s="8" t="s">
        <v>754</v>
      </c>
      <c r="D101" s="8" t="s">
        <v>755</v>
      </c>
      <c r="E101" s="8" t="s">
        <v>649</v>
      </c>
      <c r="F101" s="8" t="s">
        <v>756</v>
      </c>
      <c r="G101" s="8" t="s">
        <v>757</v>
      </c>
      <c r="H101" s="8" t="s">
        <v>758</v>
      </c>
      <c r="I101" s="8" t="s">
        <v>759</v>
      </c>
      <c r="J101" s="8" t="s">
        <v>760</v>
      </c>
      <c r="K101" s="8" t="s">
        <v>761</v>
      </c>
      <c r="L101" s="8" t="n">
        <v>8</v>
      </c>
      <c r="M101" s="8" t="s">
        <v>24</v>
      </c>
      <c r="N101" s="8" t="s">
        <v>417</v>
      </c>
    </row>
    <row r="103" customFormat="false" ht="15" hidden="false" customHeight="false" outlineLevel="0" collapsed="false">
      <c r="A103" s="11" t="s">
        <v>762</v>
      </c>
      <c r="B103" s="12" t="s">
        <v>763</v>
      </c>
      <c r="C103" s="13" t="s">
        <v>764</v>
      </c>
      <c r="D103" s="14" t="s">
        <v>765</v>
      </c>
      <c r="E103" s="15" t="s">
        <v>766</v>
      </c>
    </row>
  </sheetData>
  <autoFilter ref="A1:N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8"/>
    <col collapsed="false" customWidth="true" hidden="false" outlineLevel="0" max="4" min="4" style="0" width="22"/>
    <col collapsed="false" customWidth="true" hidden="false" outlineLevel="0" max="5" min="5" style="0" width="10"/>
    <col collapsed="false" customWidth="true" hidden="false" outlineLevel="0" max="6" min="6" style="0" width="45"/>
    <col collapsed="false" customWidth="true" hidden="false" outlineLevel="0" max="7" min="7" style="0" width="8"/>
    <col collapsed="false" customWidth="true" hidden="false" outlineLevel="0" max="8" min="8" style="0" width="20"/>
    <col collapsed="false" customWidth="true" hidden="false" outlineLevel="0" max="9" min="9" style="0" width="58"/>
    <col collapsed="false" customWidth="true" hidden="false" outlineLevel="0" max="10" min="10" style="0" width="45"/>
    <col collapsed="false" customWidth="true" hidden="false" outlineLevel="0" max="11" min="11" style="0" width="58"/>
  </cols>
  <sheetData>
    <row r="1" customFormat="false" ht="34.5" hidden="false" customHeight="true" outlineLevel="0" collapsed="false">
      <c r="A1" s="16" t="s">
        <v>767</v>
      </c>
      <c r="B1" s="16" t="s">
        <v>768</v>
      </c>
      <c r="C1" s="16" t="s">
        <v>2</v>
      </c>
      <c r="D1" s="16" t="s">
        <v>3</v>
      </c>
      <c r="E1" s="16" t="s">
        <v>4</v>
      </c>
      <c r="F1" s="16" t="s">
        <v>769</v>
      </c>
      <c r="G1" s="16" t="s">
        <v>770</v>
      </c>
      <c r="H1" s="16" t="s">
        <v>12</v>
      </c>
      <c r="I1" s="16" t="s">
        <v>771</v>
      </c>
      <c r="J1" s="16" t="s">
        <v>772</v>
      </c>
      <c r="K1" s="16" t="s">
        <v>773</v>
      </c>
    </row>
    <row r="2" customFormat="false" ht="22.35" hidden="false" customHeight="false" outlineLevel="0" collapsed="false">
      <c r="A2" s="6" t="n">
        <v>1</v>
      </c>
      <c r="B2" s="9" t="s">
        <v>14</v>
      </c>
      <c r="C2" s="6" t="s">
        <v>15</v>
      </c>
      <c r="D2" s="6" t="s">
        <v>16</v>
      </c>
      <c r="E2" s="6" t="s">
        <v>17</v>
      </c>
      <c r="F2" s="6" t="s">
        <v>774</v>
      </c>
      <c r="G2" s="6" t="n">
        <v>10</v>
      </c>
      <c r="H2" s="6" t="s">
        <v>24</v>
      </c>
      <c r="I2" s="6" t="s">
        <v>775</v>
      </c>
      <c r="J2" s="6" t="s">
        <v>776</v>
      </c>
      <c r="K2" s="6" t="s">
        <v>777</v>
      </c>
    </row>
    <row r="3" customFormat="false" ht="22.35" hidden="false" customHeight="false" outlineLevel="0" collapsed="false">
      <c r="A3" s="7" t="n">
        <v>2</v>
      </c>
      <c r="B3" s="17" t="s">
        <v>26</v>
      </c>
      <c r="C3" s="7" t="s">
        <v>27</v>
      </c>
      <c r="D3" s="7" t="s">
        <v>778</v>
      </c>
      <c r="E3" s="7" t="s">
        <v>17</v>
      </c>
      <c r="F3" s="7" t="s">
        <v>779</v>
      </c>
      <c r="G3" s="7" t="n">
        <v>10</v>
      </c>
      <c r="H3" s="7" t="s">
        <v>24</v>
      </c>
      <c r="I3" s="7" t="s">
        <v>780</v>
      </c>
      <c r="J3" s="7" t="s">
        <v>781</v>
      </c>
      <c r="K3" s="7" t="s">
        <v>782</v>
      </c>
    </row>
    <row r="4" customFormat="false" ht="22.35" hidden="false" customHeight="false" outlineLevel="0" collapsed="false">
      <c r="A4" s="6" t="n">
        <v>3</v>
      </c>
      <c r="B4" s="9" t="s">
        <v>35</v>
      </c>
      <c r="C4" s="6" t="s">
        <v>36</v>
      </c>
      <c r="D4" s="6" t="s">
        <v>16</v>
      </c>
      <c r="E4" s="6" t="s">
        <v>17</v>
      </c>
      <c r="F4" s="6" t="s">
        <v>783</v>
      </c>
      <c r="G4" s="6" t="n">
        <v>10</v>
      </c>
      <c r="H4" s="6" t="s">
        <v>24</v>
      </c>
      <c r="I4" s="6" t="s">
        <v>784</v>
      </c>
      <c r="J4" s="6" t="s">
        <v>785</v>
      </c>
      <c r="K4" s="6" t="s">
        <v>786</v>
      </c>
    </row>
    <row r="5" customFormat="false" ht="22.35" hidden="false" customHeight="false" outlineLevel="0" collapsed="false">
      <c r="A5" s="7" t="n">
        <v>4</v>
      </c>
      <c r="B5" s="17" t="s">
        <v>42</v>
      </c>
      <c r="C5" s="7" t="s">
        <v>43</v>
      </c>
      <c r="D5" s="7" t="s">
        <v>44</v>
      </c>
      <c r="E5" s="7" t="s">
        <v>17</v>
      </c>
      <c r="F5" s="7" t="s">
        <v>787</v>
      </c>
      <c r="G5" s="7" t="n">
        <v>9</v>
      </c>
      <c r="H5" s="7" t="s">
        <v>24</v>
      </c>
      <c r="I5" s="7" t="s">
        <v>788</v>
      </c>
      <c r="J5" s="7" t="s">
        <v>789</v>
      </c>
      <c r="K5" s="7" t="s">
        <v>790</v>
      </c>
    </row>
    <row r="6" customFormat="false" ht="22.35" hidden="false" customHeight="false" outlineLevel="0" collapsed="false">
      <c r="A6" s="6" t="n">
        <v>5</v>
      </c>
      <c r="B6" s="9" t="s">
        <v>51</v>
      </c>
      <c r="C6" s="6" t="s">
        <v>52</v>
      </c>
      <c r="D6" s="6" t="s">
        <v>791</v>
      </c>
      <c r="E6" s="6" t="s">
        <v>17</v>
      </c>
      <c r="F6" s="6" t="s">
        <v>792</v>
      </c>
      <c r="G6" s="6" t="n">
        <v>9</v>
      </c>
      <c r="H6" s="6" t="s">
        <v>24</v>
      </c>
      <c r="I6" s="6" t="s">
        <v>793</v>
      </c>
      <c r="J6" s="6" t="s">
        <v>794</v>
      </c>
      <c r="K6" s="6" t="s">
        <v>795</v>
      </c>
    </row>
    <row r="7" customFormat="false" ht="22.35" hidden="false" customHeight="false" outlineLevel="0" collapsed="false">
      <c r="A7" s="7" t="n">
        <v>6</v>
      </c>
      <c r="B7" s="17" t="s">
        <v>60</v>
      </c>
      <c r="C7" s="7" t="s">
        <v>61</v>
      </c>
      <c r="D7" s="7" t="s">
        <v>778</v>
      </c>
      <c r="E7" s="7" t="s">
        <v>17</v>
      </c>
      <c r="F7" s="7" t="s">
        <v>796</v>
      </c>
      <c r="G7" s="7" t="n">
        <v>9</v>
      </c>
      <c r="H7" s="7" t="s">
        <v>24</v>
      </c>
      <c r="I7" s="7" t="s">
        <v>797</v>
      </c>
      <c r="J7" s="7" t="s">
        <v>798</v>
      </c>
      <c r="K7" s="7" t="s">
        <v>799</v>
      </c>
    </row>
    <row r="8" customFormat="false" ht="22.35" hidden="false" customHeight="false" outlineLevel="0" collapsed="false">
      <c r="A8" s="6" t="n">
        <v>7</v>
      </c>
      <c r="B8" s="9" t="s">
        <v>446</v>
      </c>
      <c r="C8" s="6" t="s">
        <v>447</v>
      </c>
      <c r="D8" s="6" t="s">
        <v>16</v>
      </c>
      <c r="E8" s="6" t="s">
        <v>403</v>
      </c>
      <c r="F8" s="6" t="s">
        <v>800</v>
      </c>
      <c r="G8" s="6" t="n">
        <v>10</v>
      </c>
      <c r="H8" s="6" t="s">
        <v>24</v>
      </c>
      <c r="I8" s="6" t="s">
        <v>801</v>
      </c>
      <c r="J8" s="6" t="s">
        <v>802</v>
      </c>
      <c r="K8" s="6" t="s">
        <v>803</v>
      </c>
    </row>
    <row r="9" customFormat="false" ht="22.35" hidden="false" customHeight="false" outlineLevel="0" collapsed="false">
      <c r="A9" s="7" t="n">
        <v>8</v>
      </c>
      <c r="B9" s="17" t="s">
        <v>454</v>
      </c>
      <c r="C9" s="7" t="s">
        <v>455</v>
      </c>
      <c r="D9" s="7" t="s">
        <v>16</v>
      </c>
      <c r="E9" s="7" t="s">
        <v>403</v>
      </c>
      <c r="F9" s="7" t="s">
        <v>804</v>
      </c>
      <c r="G9" s="7" t="n">
        <v>10</v>
      </c>
      <c r="H9" s="7" t="s">
        <v>24</v>
      </c>
      <c r="I9" s="7" t="s">
        <v>805</v>
      </c>
      <c r="J9" s="7" t="s">
        <v>806</v>
      </c>
      <c r="K9" s="7" t="s">
        <v>807</v>
      </c>
    </row>
    <row r="10" customFormat="false" ht="22.35" hidden="false" customHeight="false" outlineLevel="0" collapsed="false">
      <c r="A10" s="6" t="n">
        <v>9</v>
      </c>
      <c r="B10" s="9" t="s">
        <v>462</v>
      </c>
      <c r="C10" s="6" t="s">
        <v>463</v>
      </c>
      <c r="D10" s="6" t="s">
        <v>132</v>
      </c>
      <c r="E10" s="6" t="s">
        <v>403</v>
      </c>
      <c r="F10" s="6" t="s">
        <v>808</v>
      </c>
      <c r="G10" s="6" t="n">
        <v>10</v>
      </c>
      <c r="H10" s="6" t="s">
        <v>24</v>
      </c>
      <c r="I10" s="6" t="s">
        <v>809</v>
      </c>
      <c r="J10" s="6" t="s">
        <v>810</v>
      </c>
      <c r="K10" s="6" t="s">
        <v>811</v>
      </c>
    </row>
    <row r="11" customFormat="false" ht="22.35" hidden="false" customHeight="false" outlineLevel="0" collapsed="false">
      <c r="A11" s="7" t="n">
        <v>10</v>
      </c>
      <c r="B11" s="7" t="s">
        <v>16</v>
      </c>
      <c r="C11" s="7" t="s">
        <v>812</v>
      </c>
      <c r="D11" s="7" t="s">
        <v>16</v>
      </c>
      <c r="E11" s="7" t="s">
        <v>403</v>
      </c>
      <c r="F11" s="7" t="s">
        <v>813</v>
      </c>
      <c r="G11" s="7" t="n">
        <v>10</v>
      </c>
      <c r="H11" s="7" t="s">
        <v>24</v>
      </c>
      <c r="I11" s="7" t="s">
        <v>814</v>
      </c>
      <c r="J11" s="7" t="s">
        <v>815</v>
      </c>
      <c r="K11" s="7" t="s">
        <v>816</v>
      </c>
    </row>
    <row r="12" customFormat="false" ht="22.35" hidden="false" customHeight="false" outlineLevel="0" collapsed="false">
      <c r="A12" s="6" t="n">
        <v>11</v>
      </c>
      <c r="B12" s="6" t="s">
        <v>16</v>
      </c>
      <c r="C12" s="6" t="s">
        <v>314</v>
      </c>
      <c r="D12" s="6" t="s">
        <v>159</v>
      </c>
      <c r="E12" s="6" t="s">
        <v>17</v>
      </c>
      <c r="F12" s="6" t="s">
        <v>817</v>
      </c>
      <c r="G12" s="6" t="n">
        <v>10</v>
      </c>
      <c r="H12" s="6" t="s">
        <v>24</v>
      </c>
      <c r="I12" s="6" t="s">
        <v>818</v>
      </c>
      <c r="J12" s="6" t="s">
        <v>819</v>
      </c>
      <c r="K12" s="6" t="s">
        <v>820</v>
      </c>
    </row>
    <row r="13" customFormat="false" ht="22.35" hidden="false" customHeight="false" outlineLevel="0" collapsed="false">
      <c r="A13" s="7" t="n">
        <v>12</v>
      </c>
      <c r="B13" s="17" t="s">
        <v>212</v>
      </c>
      <c r="C13" s="7" t="s">
        <v>213</v>
      </c>
      <c r="D13" s="7" t="s">
        <v>214</v>
      </c>
      <c r="E13" s="7" t="s">
        <v>17</v>
      </c>
      <c r="F13" s="7" t="s">
        <v>821</v>
      </c>
      <c r="G13" s="7" t="n">
        <v>10</v>
      </c>
      <c r="H13" s="7" t="s">
        <v>148</v>
      </c>
      <c r="I13" s="7" t="s">
        <v>822</v>
      </c>
      <c r="J13" s="7" t="s">
        <v>823</v>
      </c>
      <c r="K13" s="7" t="s">
        <v>824</v>
      </c>
    </row>
    <row r="14" customFormat="false" ht="22.35" hidden="false" customHeight="false" outlineLevel="0" collapsed="false">
      <c r="A14" s="6" t="n">
        <v>13</v>
      </c>
      <c r="B14" s="6" t="s">
        <v>16</v>
      </c>
      <c r="C14" s="6" t="s">
        <v>418</v>
      </c>
      <c r="D14" s="6" t="s">
        <v>16</v>
      </c>
      <c r="E14" s="6" t="s">
        <v>403</v>
      </c>
      <c r="F14" s="6" t="s">
        <v>825</v>
      </c>
      <c r="G14" s="6" t="n">
        <v>10</v>
      </c>
      <c r="H14" s="6" t="s">
        <v>24</v>
      </c>
      <c r="I14" s="6" t="s">
        <v>826</v>
      </c>
      <c r="J14" s="6" t="s">
        <v>827</v>
      </c>
      <c r="K14" s="6" t="s">
        <v>828</v>
      </c>
    </row>
    <row r="15" customFormat="false" ht="22.35" hidden="false" customHeight="false" outlineLevel="0" collapsed="false">
      <c r="A15" s="7" t="n">
        <v>14</v>
      </c>
      <c r="B15" s="7" t="s">
        <v>16</v>
      </c>
      <c r="C15" s="7" t="s">
        <v>470</v>
      </c>
      <c r="D15" s="7" t="s">
        <v>16</v>
      </c>
      <c r="E15" s="7" t="s">
        <v>403</v>
      </c>
      <c r="F15" s="7" t="s">
        <v>829</v>
      </c>
      <c r="G15" s="7" t="n">
        <v>10</v>
      </c>
      <c r="H15" s="7" t="s">
        <v>24</v>
      </c>
      <c r="I15" s="7" t="s">
        <v>830</v>
      </c>
      <c r="J15" s="7" t="s">
        <v>831</v>
      </c>
      <c r="K15" s="7" t="s">
        <v>832</v>
      </c>
    </row>
    <row r="16" customFormat="false" ht="32.8" hidden="false" customHeight="false" outlineLevel="0" collapsed="false">
      <c r="A16" s="6" t="n">
        <v>15</v>
      </c>
      <c r="B16" s="6" t="s">
        <v>16</v>
      </c>
      <c r="C16" s="6" t="s">
        <v>621</v>
      </c>
      <c r="D16" s="6" t="s">
        <v>159</v>
      </c>
      <c r="E16" s="6" t="s">
        <v>547</v>
      </c>
      <c r="F16" s="6" t="s">
        <v>833</v>
      </c>
      <c r="G16" s="6" t="n">
        <v>10</v>
      </c>
      <c r="H16" s="6" t="s">
        <v>24</v>
      </c>
      <c r="I16" s="6" t="s">
        <v>834</v>
      </c>
      <c r="J16" s="6" t="s">
        <v>835</v>
      </c>
      <c r="K16" s="6" t="s">
        <v>836</v>
      </c>
    </row>
    <row r="17" customFormat="false" ht="32.8" hidden="false" customHeight="false" outlineLevel="0" collapsed="false">
      <c r="A17" s="7" t="n">
        <v>16</v>
      </c>
      <c r="B17" s="7" t="s">
        <v>16</v>
      </c>
      <c r="C17" s="7" t="s">
        <v>608</v>
      </c>
      <c r="D17" s="7" t="s">
        <v>16</v>
      </c>
      <c r="E17" s="7" t="s">
        <v>547</v>
      </c>
      <c r="F17" s="7" t="s">
        <v>837</v>
      </c>
      <c r="G17" s="7" t="n">
        <v>10</v>
      </c>
      <c r="H17" s="7" t="s">
        <v>24</v>
      </c>
      <c r="I17" s="7" t="s">
        <v>838</v>
      </c>
      <c r="J17" s="7" t="s">
        <v>839</v>
      </c>
      <c r="K17" s="7" t="s">
        <v>840</v>
      </c>
    </row>
    <row r="18" customFormat="false" ht="32.8" hidden="false" customHeight="false" outlineLevel="0" collapsed="false">
      <c r="A18" s="6" t="n">
        <v>17</v>
      </c>
      <c r="B18" s="9" t="s">
        <v>663</v>
      </c>
      <c r="C18" s="6" t="s">
        <v>664</v>
      </c>
      <c r="D18" s="6" t="s">
        <v>16</v>
      </c>
      <c r="E18" s="6" t="s">
        <v>649</v>
      </c>
      <c r="F18" s="6" t="s">
        <v>841</v>
      </c>
      <c r="G18" s="6" t="n">
        <v>10</v>
      </c>
      <c r="H18" s="6" t="s">
        <v>24</v>
      </c>
      <c r="I18" s="6" t="s">
        <v>842</v>
      </c>
      <c r="J18" s="6" t="s">
        <v>843</v>
      </c>
      <c r="K18" s="6" t="s">
        <v>844</v>
      </c>
    </row>
    <row r="19" customFormat="false" ht="22.35" hidden="false" customHeight="false" outlineLevel="0" collapsed="false">
      <c r="A19" s="7" t="n">
        <v>18</v>
      </c>
      <c r="B19" s="17" t="s">
        <v>686</v>
      </c>
      <c r="C19" s="7" t="s">
        <v>687</v>
      </c>
      <c r="D19" s="7" t="s">
        <v>845</v>
      </c>
      <c r="E19" s="7" t="s">
        <v>649</v>
      </c>
      <c r="F19" s="7" t="s">
        <v>846</v>
      </c>
      <c r="G19" s="7" t="n">
        <v>10</v>
      </c>
      <c r="H19" s="7" t="s">
        <v>24</v>
      </c>
      <c r="I19" s="7" t="s">
        <v>847</v>
      </c>
      <c r="J19" s="7" t="s">
        <v>848</v>
      </c>
      <c r="K19" s="7" t="s">
        <v>849</v>
      </c>
    </row>
    <row r="20" customFormat="false" ht="22.35" hidden="false" customHeight="false" outlineLevel="0" collapsed="false">
      <c r="A20" s="6" t="n">
        <v>19</v>
      </c>
      <c r="B20" s="9" t="s">
        <v>716</v>
      </c>
      <c r="C20" s="6" t="s">
        <v>717</v>
      </c>
      <c r="D20" s="6" t="s">
        <v>718</v>
      </c>
      <c r="E20" s="6" t="s">
        <v>649</v>
      </c>
      <c r="F20" s="6" t="s">
        <v>850</v>
      </c>
      <c r="G20" s="6" t="n">
        <v>10</v>
      </c>
      <c r="H20" s="6" t="s">
        <v>24</v>
      </c>
      <c r="I20" s="6" t="s">
        <v>851</v>
      </c>
      <c r="J20" s="6" t="s">
        <v>852</v>
      </c>
      <c r="K20" s="6" t="s">
        <v>853</v>
      </c>
    </row>
    <row r="21" customFormat="false" ht="22.35" hidden="false" customHeight="false" outlineLevel="0" collapsed="false">
      <c r="A21" s="7" t="n">
        <v>20</v>
      </c>
      <c r="B21" s="17" t="s">
        <v>732</v>
      </c>
      <c r="C21" s="7" t="s">
        <v>733</v>
      </c>
      <c r="D21" s="7" t="s">
        <v>132</v>
      </c>
      <c r="E21" s="7" t="s">
        <v>649</v>
      </c>
      <c r="F21" s="7" t="s">
        <v>854</v>
      </c>
      <c r="G21" s="7" t="n">
        <v>10</v>
      </c>
      <c r="H21" s="7" t="s">
        <v>24</v>
      </c>
      <c r="I21" s="7" t="s">
        <v>855</v>
      </c>
      <c r="J21" s="7" t="s">
        <v>856</v>
      </c>
      <c r="K21" s="7" t="s">
        <v>857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2" min="2" style="0" width="75"/>
  </cols>
  <sheetData>
    <row r="1" customFormat="false" ht="19.5" hidden="false" customHeight="true" outlineLevel="0" collapsed="false">
      <c r="A1" s="18" t="s">
        <v>858</v>
      </c>
      <c r="B1" s="18" t="s">
        <v>859</v>
      </c>
    </row>
    <row r="2" customFormat="false" ht="19.5" hidden="false" customHeight="true" outlineLevel="0" collapsed="false">
      <c r="A2" s="19"/>
      <c r="B2" s="19"/>
    </row>
    <row r="3" customFormat="false" ht="60" hidden="false" customHeight="true" outlineLevel="0" collapsed="false">
      <c r="A3" s="20" t="s">
        <v>860</v>
      </c>
      <c r="B3" s="19" t="s">
        <v>861</v>
      </c>
    </row>
    <row r="4" customFormat="false" ht="60" hidden="false" customHeight="true" outlineLevel="0" collapsed="false">
      <c r="A4" s="20" t="s">
        <v>862</v>
      </c>
      <c r="B4" s="19" t="s">
        <v>863</v>
      </c>
    </row>
    <row r="5" customFormat="false" ht="60" hidden="false" customHeight="true" outlineLevel="0" collapsed="false">
      <c r="A5" s="20" t="s">
        <v>864</v>
      </c>
      <c r="B5" s="19" t="s">
        <v>865</v>
      </c>
    </row>
    <row r="6" customFormat="false" ht="60" hidden="false" customHeight="true" outlineLevel="0" collapsed="false">
      <c r="A6" s="20" t="s">
        <v>866</v>
      </c>
      <c r="B6" s="19" t="s">
        <v>867</v>
      </c>
    </row>
    <row r="7" customFormat="false" ht="60" hidden="false" customHeight="true" outlineLevel="0" collapsed="false">
      <c r="A7" s="20" t="s">
        <v>868</v>
      </c>
      <c r="B7" s="19" t="s">
        <v>869</v>
      </c>
    </row>
    <row r="8" customFormat="false" ht="60" hidden="false" customHeight="true" outlineLevel="0" collapsed="false">
      <c r="A8" s="20" t="s">
        <v>870</v>
      </c>
      <c r="B8" s="19" t="s">
        <v>871</v>
      </c>
    </row>
    <row r="9" customFormat="false" ht="19.5" hidden="false" customHeight="true" outlineLevel="0" collapsed="false">
      <c r="A9" s="19"/>
      <c r="B9" s="19"/>
    </row>
    <row r="10" customFormat="false" ht="60" hidden="false" customHeight="true" outlineLevel="0" collapsed="false">
      <c r="A10" s="19" t="s">
        <v>872</v>
      </c>
      <c r="B10" s="19" t="s">
        <v>873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0"/>
  </cols>
  <sheetData>
    <row r="1" customFormat="false" ht="16.15" hidden="false" customHeight="false" outlineLevel="0" collapsed="false">
      <c r="A1" s="21" t="s">
        <v>874</v>
      </c>
    </row>
    <row r="2" customFormat="false" ht="15" hidden="false" customHeight="false" outlineLevel="0" collapsed="false">
      <c r="A2" s="22"/>
      <c r="B2" s="22"/>
    </row>
    <row r="3" customFormat="false" ht="15" hidden="false" customHeight="false" outlineLevel="0" collapsed="false">
      <c r="A3" s="23" t="s">
        <v>875</v>
      </c>
      <c r="B3" s="22" t="n">
        <f aca="false">COUNTA('100 Leads v2 – Corrected'!A2:A101)</f>
        <v>100</v>
      </c>
    </row>
    <row r="4" customFormat="false" ht="15" hidden="false" customHeight="false" outlineLevel="0" collapsed="false">
      <c r="A4" s="23" t="s">
        <v>876</v>
      </c>
      <c r="B4" s="22" t="n">
        <f aca="false">COUNTIF('100 Leads v2 – Corrected'!E2:E101,"USA")</f>
        <v>50</v>
      </c>
    </row>
    <row r="5" customFormat="false" ht="15" hidden="false" customHeight="false" outlineLevel="0" collapsed="false">
      <c r="A5" s="23" t="s">
        <v>877</v>
      </c>
      <c r="B5" s="22" t="n">
        <f aca="false">COUNTIF('100 Leads v2 – Corrected'!E2:E101,"UK")</f>
        <v>20</v>
      </c>
    </row>
    <row r="6" customFormat="false" ht="15" hidden="false" customHeight="false" outlineLevel="0" collapsed="false">
      <c r="A6" s="23" t="s">
        <v>878</v>
      </c>
      <c r="B6" s="22" t="n">
        <f aca="false">COUNTIF('100 Leads v2 – Corrected'!E2:E101,"Canada")</f>
        <v>15</v>
      </c>
    </row>
    <row r="7" customFormat="false" ht="15" hidden="false" customHeight="false" outlineLevel="0" collapsed="false">
      <c r="A7" s="23" t="s">
        <v>879</v>
      </c>
      <c r="B7" s="22" t="n">
        <f aca="false">COUNTIF('100 Leads v2 – Corrected'!E2:E101,"Australia")</f>
        <v>15</v>
      </c>
    </row>
    <row r="8" customFormat="false" ht="15" hidden="false" customHeight="false" outlineLevel="0" collapsed="false">
      <c r="A8" s="22"/>
      <c r="B8" s="22"/>
    </row>
    <row r="9" customFormat="false" ht="15" hidden="false" customHeight="false" outlineLevel="0" collapsed="false">
      <c r="A9" s="23" t="s">
        <v>880</v>
      </c>
      <c r="B9" s="22" t="n">
        <f aca="false">COUNTIF('100 Leads v2 – Corrected'!M2:M101,"Short*")</f>
        <v>84</v>
      </c>
    </row>
    <row r="10" customFormat="false" ht="15" hidden="false" customHeight="false" outlineLevel="0" collapsed="false">
      <c r="A10" s="23" t="s">
        <v>881</v>
      </c>
      <c r="B10" s="22" t="n">
        <f aca="false">COUNTIF('100 Leads v2 – Corrected'!M2:M101,"Long*")</f>
        <v>16</v>
      </c>
    </row>
    <row r="11" customFormat="false" ht="15" hidden="false" customHeight="false" outlineLevel="0" collapsed="false">
      <c r="A11" s="22"/>
      <c r="B11" s="22"/>
    </row>
    <row r="12" customFormat="false" ht="15" hidden="false" customHeight="false" outlineLevel="0" collapsed="false">
      <c r="A12" s="23" t="s">
        <v>882</v>
      </c>
      <c r="B12" s="22" t="n">
        <f aca="false">COUNTIF('100 Leads v2 – Corrected'!B2:B101,"&lt;&gt;Managing Partner")</f>
        <v>26</v>
      </c>
    </row>
    <row r="13" customFormat="false" ht="15" hidden="false" customHeight="false" outlineLevel="0" collapsed="false">
      <c r="A13" s="23" t="s">
        <v>883</v>
      </c>
      <c r="B13" s="22" t="n">
        <f aca="false">COUNTIF('100 Leads v2 – Corrected'!B2:B101,"Managing Partner")</f>
        <v>74</v>
      </c>
    </row>
    <row r="14" customFormat="false" ht="15" hidden="false" customHeight="false" outlineLevel="0" collapsed="false">
      <c r="A14" s="22"/>
      <c r="B14" s="22"/>
    </row>
    <row r="15" customFormat="false" ht="15" hidden="false" customHeight="false" outlineLevel="0" collapsed="false">
      <c r="A15" s="23" t="s">
        <v>884</v>
      </c>
      <c r="B15" s="22" t="n">
        <f aca="false">AVERAGE('100 Leads v2 – Corrected'!L2:L101)</f>
        <v>8.78</v>
      </c>
    </row>
    <row r="16" customFormat="false" ht="15" hidden="false" customHeight="false" outlineLevel="0" collapsed="false">
      <c r="A16" s="23" t="s">
        <v>885</v>
      </c>
      <c r="B16" s="22" t="n">
        <f aca="false">AVERAGE('100 Leads v2 – Corrected'!L2:L21)</f>
        <v>8.55</v>
      </c>
    </row>
    <row r="17" customFormat="false" ht="15" hidden="false" customHeight="false" outlineLevel="0" collapsed="false">
      <c r="A17" s="23" t="s">
        <v>886</v>
      </c>
      <c r="B17" s="22" t="n">
        <f aca="false">COUNTIF('100 Leads v2 – Corrected'!L2:L101,10)</f>
        <v>21</v>
      </c>
    </row>
    <row r="18" customFormat="false" ht="15" hidden="false" customHeight="false" outlineLevel="0" collapsed="false">
      <c r="A18" s="23" t="s">
        <v>887</v>
      </c>
      <c r="B18" s="22" t="n">
        <f aca="false">COUNTIF('100 Leads v2 – Corrected'!L2:L101,"&gt;="&amp;9)</f>
        <v>60</v>
      </c>
    </row>
    <row r="19" customFormat="false" ht="15" hidden="false" customHeight="false" outlineLevel="0" collapsed="false">
      <c r="A19" s="22"/>
      <c r="B19" s="22"/>
    </row>
    <row r="20" customFormat="false" ht="15" hidden="false" customHeight="false" outlineLevel="0" collapsed="false">
      <c r="A20" s="23" t="s">
        <v>888</v>
      </c>
      <c r="B20" s="22" t="n">
        <f aca="false">COUNTIF('100 Leads v2 – Corrected'!N2:N101,"Xero*")</f>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2026-04-08T15:13:57Z</dcterms:created>
  <dc:creator>openpyxl</dc:creator>
  <dc:description/>
  <dc:language>en-US</dc:language>
  <cp:lastModifiedBy/>
  <dcterms:modified xsi:type="dcterms:W3CDTF">2026-04-08T15:13:57Z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